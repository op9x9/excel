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9.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op636\Downloads\"/>
    </mc:Choice>
  </mc:AlternateContent>
  <xr:revisionPtr revIDLastSave="0" documentId="13_ncr:1_{179AA576-9E10-43B0-932C-5FC17303F6BB}" xr6:coauthVersionLast="47" xr6:coauthVersionMax="47" xr10:uidLastSave="{00000000-0000-0000-0000-000000000000}"/>
  <bookViews>
    <workbookView xWindow="-110" yWindow="-110" windowWidth="19420" windowHeight="10560" tabRatio="844" xr2:uid="{346724B3-1C49-40AE-AA36-C77CF5D6DD09}"/>
  </bookViews>
  <sheets>
    <sheet name="DASHBOARD." sheetId="6" r:id="rId1"/>
    <sheet name="pivots" sheetId="5" r:id="rId2"/>
    <sheet name="Sheet3" sheetId="7" r:id="rId3"/>
    <sheet name="Sheet5" sheetId="9" r:id="rId4"/>
    <sheet name="Sheet6" sheetId="10" r:id="rId5"/>
    <sheet name="Sheet1" sheetId="11" r:id="rId6"/>
    <sheet name="Sheet4" sheetId="8" r:id="rId7"/>
    <sheet name="Sheet2" sheetId="12" r:id="rId8"/>
    <sheet name="Data" sheetId="1" r:id="rId9"/>
    <sheet name="Questions &amp; KPIs" sheetId="2" r:id="rId10"/>
    <sheet name="Dashboard" sheetId="3" state="hidden" r:id="rId11"/>
  </sheets>
  <definedNames>
    <definedName name="_xlchart.v5.0" hidden="1">Sheet6!$F$3:$G$3</definedName>
    <definedName name="_xlchart.v5.1" hidden="1">Sheet6!$F$4:$G$61</definedName>
    <definedName name="_xlchart.v5.10" hidden="1">Sheet6!$H$3</definedName>
    <definedName name="_xlchart.v5.11" hidden="1">Sheet6!$H$4:$H$61</definedName>
    <definedName name="_xlchart.v5.2" hidden="1">Sheet6!$H$3</definedName>
    <definedName name="_xlchart.v5.3" hidden="1">Sheet6!$H$4:$H$61</definedName>
    <definedName name="_xlchart.v5.4" hidden="1">Sheet6!$J$3:$K$3</definedName>
    <definedName name="_xlchart.v5.5" hidden="1">Sheet6!$J$4:$K$61</definedName>
    <definedName name="_xlchart.v5.6" hidden="1">Sheet6!$L$3</definedName>
    <definedName name="_xlchart.v5.7" hidden="1">Sheet6!$L$4:$L$61</definedName>
    <definedName name="_xlchart.v5.8" hidden="1">Sheet6!$F$3:$G$3</definedName>
    <definedName name="_xlchart.v5.9" hidden="1">Sheet6!$F$4:$G$61</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7" l="1"/>
  <c r="J4" i="7"/>
  <c r="K4" i="7"/>
  <c r="L4" i="7"/>
  <c r="I4" i="7"/>
  <c r="L5" i="7"/>
  <c r="L6" i="7"/>
  <c r="L7" i="7"/>
  <c r="L8" i="7"/>
  <c r="L9" i="7"/>
  <c r="J5" i="7"/>
  <c r="K5" i="7"/>
  <c r="I6" i="7"/>
  <c r="J6" i="7"/>
  <c r="K6" i="7"/>
  <c r="I7" i="7"/>
  <c r="J7" i="7"/>
  <c r="K7" i="7"/>
  <c r="I8" i="7"/>
  <c r="J8" i="7"/>
  <c r="K8" i="7"/>
  <c r="I9" i="7"/>
  <c r="J9" i="7"/>
  <c r="K9" i="7"/>
  <c r="H6" i="7"/>
  <c r="H7" i="7"/>
  <c r="H8" i="7"/>
  <c r="H9" i="7"/>
  <c r="H5" i="7"/>
  <c r="G4" i="5"/>
  <c r="K4" i="5"/>
  <c r="J4" i="5"/>
  <c r="I4" i="5"/>
  <c r="H4" i="5"/>
  <c r="N3" i="1"/>
  <c r="M2" i="1"/>
  <c r="O2" i="1" a="1"/>
  <c r="O2" i="1" s="1"/>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c r="O2323" i="1" a="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c r="O1854" i="1" a="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c r="O1799" i="1" a="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c r="O1757" i="1" a="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a="1"/>
  <c r="O1498" i="1" s="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a="1"/>
  <c r="O1440" i="1" s="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a="1"/>
  <c r="O979" i="1" s="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c r="O862" i="1" a="1"/>
  <c r="N862" i="1"/>
  <c r="M862" i="1"/>
  <c r="O861" i="1" a="1"/>
  <c r="O861" i="1" s="1"/>
  <c r="N861" i="1"/>
  <c r="M861" i="1"/>
  <c r="O860" i="1"/>
  <c r="O860" i="1" a="1"/>
  <c r="N860" i="1"/>
  <c r="M860" i="1"/>
  <c r="O859" i="1" a="1"/>
  <c r="O859" i="1" s="1"/>
  <c r="N859" i="1"/>
  <c r="M859" i="1"/>
  <c r="O858" i="1" a="1"/>
  <c r="O858" i="1" s="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c r="O713" i="1" a="1"/>
  <c r="N713" i="1"/>
  <c r="M713" i="1"/>
  <c r="O712" i="1" a="1"/>
  <c r="O712" i="1" s="1"/>
  <c r="N712" i="1"/>
  <c r="M712" i="1"/>
  <c r="O711" i="1" a="1"/>
  <c r="O711" i="1" s="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c r="O627" i="1" a="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c r="O515" i="1" a="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c r="O426" i="1" a="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c r="O318" i="1" a="1"/>
  <c r="N318" i="1"/>
  <c r="M318" i="1"/>
  <c r="O317" i="1"/>
  <c r="O317" i="1" a="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a="1"/>
  <c r="O159" i="1" s="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a="1"/>
  <c r="O124" i="1" s="1"/>
  <c r="N124" i="1"/>
  <c r="M124" i="1"/>
  <c r="O123" i="1" a="1"/>
  <c r="O123" i="1" s="1"/>
  <c r="N123" i="1"/>
  <c r="M123" i="1"/>
  <c r="O122" i="1"/>
  <c r="O122" i="1" a="1"/>
  <c r="N122" i="1"/>
  <c r="M122" i="1"/>
  <c r="O121" i="1"/>
  <c r="O121" i="1" a="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c r="O94" i="1" a="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c r="O79" i="1" a="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M3"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<sst xmlns="http://schemas.openxmlformats.org/spreadsheetml/2006/main" count="14871" uniqueCount="2541">
  <si>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</si>
  <si>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</si>
  <si>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</si>
  <si>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</si>
  <si>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</si>
  <si>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</si>
  <si>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</si>
  <si>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</si>
  <si>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</si>
  <si>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</si>
  <si>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</si>
  <si>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</si>
  <si>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</si>
  <si>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</si>
  <si>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</si>
  <si>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</si>
  <si>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</si>
  <si>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</si>
  <si>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</si>
  <si>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</si>
  <si>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</si>
  <si>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</si>
  <si>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</si>
  <si>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</si>
  <si>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</si>
  <si>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</si>
  <si>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</si>
  <si>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</si>
  <si>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</si>
  <si>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</si>
  <si>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</si>
  <si>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</si>
  <si>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</si>
  <si>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</si>
  <si>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</si>
  <si>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</si>
  <si>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</si>
  <si>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</si>
  <si>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</si>
  <si>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</si>
  <si>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</si>
  <si>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</si>
  <si>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</si>
  <si>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</si>
  <si>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</si>
  <si>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</si>
  <si>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</si>
  <si>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</si>
  <si>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</si>
  <si>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</si>
  <si>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</si>
  <si>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</si>
  <si>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</si>
  <si>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</si>
  <si>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</si>
  <si>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</si>
  <si>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</si>
  <si>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</si>
  <si>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</si>
  <si>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</si>
  <si>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</si>
  <si>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</si>
  <si>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</si>
  <si>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</si>
  <si>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</si>
  <si>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</si>
  <si>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</si>
  <si>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</si>
  <si>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</si>
  <si>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</si>
  <si>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</si>
  <si>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</si>
  <si>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</si>
  <si>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</si>
  <si>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</si>
  <si>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</si>
  <si>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</si>
  <si>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</si>
  <si>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</si>
  <si>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</si>
  <si>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</si>
  <si>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</si>
  <si>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</si>
  <si>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</si>
  <si>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</si>
  <si>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</si>
  <si>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</si>
  <si>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</si>
  <si>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</si>
  <si>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</si>
  <si>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</si>
  <si>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</si>
  <si>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</si>
  <si>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</si>
  <si>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</si>
  <si>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</si>
  <si>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</si>
  <si>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</si>
  <si>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</si>
  <si>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</si>
  <si>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</si>
  <si>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</si>
  <si>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</si>
  <si>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</si>
  <si>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</si>
  <si>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</si>
  <si>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</si>
  <si>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</si>
  <si>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</si>
  <si>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</si>
  <si>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</si>
  <si>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</si>
  <si>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</si>
  <si>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</si>
  <si>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</si>
  <si>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</si>
  <si>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</si>
  <si>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</si>
  <si>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</si>
  <si>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</si>
  <si>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</si>
  <si>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</si>
  <si>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</si>
  <si>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</si>
  <si>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</si>
  <si>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</si>
  <si>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</si>
  <si>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</si>
  <si>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</si>
  <si>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</si>
  <si>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</si>
  <si>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</si>
  <si>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</si>
  <si>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</si>
  <si>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</si>
  <si>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</si>
  <si>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</si>
  <si>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</si>
  <si>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</si>
  <si>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</si>
  <si>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</si>
  <si>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</si>
  <si>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</si>
  <si>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</si>
  <si>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</si>
  <si>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</si>
  <si>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</si>
  <si>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</si>
  <si>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</si>
  <si>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</si>
  <si>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</si>
  <si>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</si>
  <si>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</si>
  <si>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</si>
  <si>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</si>
  <si>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</si>
  <si>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</si>
  <si>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</si>
  <si>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</si>
  <si>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</si>
  <si>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</si>
  <si>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</si>
  <si>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</si>
  <si>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</si>
  <si>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</si>
  <si>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</si>
  <si>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</si>
  <si>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</si>
  <si>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</si>
  <si>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</si>
  <si>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</si>
  <si>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</si>
  <si>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</si>
  <si>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</si>
  <si>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</si>
  <si>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</si>
  <si>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</si>
  <si>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</si>
  <si>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</si>
  <si>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</si>
  <si>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</si>
  <si>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</si>
  <si>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</si>
  <si>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</si>
  <si>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</si>
  <si>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</si>
  <si>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</si>
  <si>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</si>
  <si>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</si>
  <si>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</si>
  <si>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</si>
  <si>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</si>
  <si>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</si>
  <si>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</si>
  <si>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</si>
  <si>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</si>
  <si>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</si>
  <si>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</si>
  <si>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</si>
  <si>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</si>
  <si>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</si>
  <si>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</si>
  <si>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</si>
  <si>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</si>
  <si>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</si>
  <si>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</si>
  <si>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</si>
  <si>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</si>
  <si>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</si>
  <si>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</si>
  <si>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</si>
  <si>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</si>
  <si>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</si>
  <si>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</si>
  <si>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</si>
  <si>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</si>
  <si>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</si>
  <si>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</si>
  <si>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</si>
  <si>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</si>
  <si>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</si>
  <si>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</si>
  <si>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</si>
  <si>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</si>
  <si>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</si>
  <si>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</si>
  <si>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</si>
  <si>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</si>
  <si>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</si>
  <si>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</si>
  <si>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</si>
  <si>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</si>
  <si>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</si>
  <si>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</si>
  <si>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</si>
  <si>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</si>
  <si>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</si>
  <si>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</si>
  <si>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</si>
  <si>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</si>
  <si>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</si>
  <si>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</si>
  <si>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</si>
  <si>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</si>
  <si>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</si>
  <si>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</si>
  <si>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</si>
  <si>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</si>
  <si>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</si>
  <si>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</si>
  <si>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</si>
  <si>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</si>
  <si>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</si>
  <si>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</si>
  <si>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</si>
  <si>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</si>
  <si>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</si>
  <si>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</si>
  <si>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</si>
  <si>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</si>
  <si>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</si>
  <si>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</si>
  <si>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</si>
  <si>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</si>
  <si>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</si>
  <si>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</si>
  <si>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</si>
  <si>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</si>
  <si>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</si>
  <si>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</si>
  <si>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</si>
  <si>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</si>
  <si>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</si>
  <si>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</si>
  <si>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</si>
  <si>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</si>
  <si>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</si>
  <si>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</si>
  <si>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</si>
  <si>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</si>
  <si>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</si>
  <si>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</si>
  <si>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</si>
  <si>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</si>
  <si>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</si>
  <si>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</si>
  <si>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</si>
  <si>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</si>
  <si>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</si>
  <si>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</si>
  <si>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</si>
  <si>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</si>
  <si>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</si>
  <si>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</si>
  <si>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</si>
  <si>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</si>
  <si>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</si>
  <si>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</si>
  <si>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</si>
  <si>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</si>
  <si>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</si>
  <si>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</si>
  <si>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</si>
  <si>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</si>
  <si>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</si>
  <si>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</si>
  <si>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</si>
  <si>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</si>
  <si>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</si>
  <si>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</si>
  <si>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</si>
  <si>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</si>
  <si>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</si>
  <si>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</si>
  <si>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</si>
  <si>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</si>
  <si>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</si>
  <si>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</si>
  <si>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</si>
  <si>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</si>
  <si>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</si>
  <si>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</si>
  <si>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</si>
  <si>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</si>
  <si>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</si>
  <si>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</si>
  <si>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</si>
  <si>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</si>
  <si>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</si>
  <si>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</si>
  <si>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</si>
  <si>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</si>
  <si>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</si>
  <si>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</si>
  <si>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</si>
  <si>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</si>
  <si>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</si>
  <si>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</si>
  <si>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</si>
  <si>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</si>
  <si>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</si>
  <si>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</si>
  <si>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</si>
  <si>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</si>
  <si>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</si>
  <si>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</si>
  <si>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</si>
  <si>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</si>
  <si>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</si>
  <si>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</si>
  <si>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</si>
  <si>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</si>
  <si>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</si>
  <si>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</si>
  <si>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</si>
  <si>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</si>
  <si>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</si>
  <si>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</si>
  <si>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</si>
  <si>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</si>
  <si>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</si>
  <si>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</si>
  <si>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</si>
  <si>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</si>
  <si>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</si>
  <si>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</si>
  <si>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</si>
  <si>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</si>
  <si>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</si>
  <si>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</si>
  <si>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</si>
  <si>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</si>
  <si>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</si>
  <si>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</si>
  <si>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</si>
  <si>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</si>
  <si>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</si>
  <si>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</si>
  <si>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</si>
  <si>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</si>
  <si>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</si>
  <si>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</si>
  <si>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</si>
  <si>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</si>
  <si>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</si>
  <si>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</si>
  <si>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</si>
  <si>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</si>
  <si>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</si>
  <si>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</si>
  <si>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</si>
  <si>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</si>
  <si>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</si>
  <si>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</si>
  <si>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</si>
  <si>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</si>
  <si>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</si>
  <si>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</si>
  <si>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</si>
  <si>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</si>
  <si>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</si>
  <si>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</si>
  <si>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</si>
  <si>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</si>
  <si>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</si>
  <si>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</si>
  <si>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</si>
  <si>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</si>
  <si>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</si>
  <si>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</si>
  <si>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</si>
  <si>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</si>
  <si>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</si>
  <si>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</si>
  <si>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</si>
  <si>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</si>
  <si>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</si>
  <si>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</si>
  <si>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</si>
  <si>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</si>
  <si>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</si>
  <si>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</si>
  <si>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</si>
  <si>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</si>
  <si>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</si>
  <si>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</si>
  <si>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</si>
  <si>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</si>
  <si>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</si>
  <si>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</si>
  <si>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</si>
  <si>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</si>
  <si>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</si>
  <si>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</si>
  <si>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</si>
  <si>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</si>
  <si>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</si>
  <si>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</si>
  <si>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</si>
  <si>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</si>
  <si>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</si>
  <si>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</si>
  <si>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</si>
  <si>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</si>
  <si>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</si>
  <si>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</si>
  <si>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</si>
  <si>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</si>
  <si>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</si>
  <si>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</si>
  <si>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</si>
  <si>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</si>
  <si>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</si>
  <si>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</si>
  <si>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</si>
  <si>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</si>
  <si>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</si>
  <si>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</si>
  <si>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</si>
  <si>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</si>
  <si>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</si>
  <si>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</si>
  <si>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</si>
  <si>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</si>
  <si>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</si>
  <si>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</si>
  <si>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</si>
  <si>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</si>
  <si>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</si>
  <si>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</si>
  <si>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</si>
  <si>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</si>
  <si>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</si>
  <si>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</si>
  <si>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</si>
  <si>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</si>
  <si>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</si>
  <si>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</si>
  <si>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</si>
  <si>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</si>
  <si>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</si>
  <si>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</si>
  <si>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</si>
  <si>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</si>
  <si>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</si>
  <si>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</si>
  <si>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</si>
  <si>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</si>
  <si>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</si>
  <si>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</si>
  <si>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</si>
  <si>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</si>
  <si>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</si>
  <si>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</si>
  <si>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</si>
  <si>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</si>
  <si>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</si>
  <si>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</si>
  <si>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</si>
  <si>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</si>
  <si>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</si>
  <si>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</si>
  <si>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</si>
  <si>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</si>
  <si>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</si>
  <si>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</si>
  <si>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</si>
  <si>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</si>
  <si>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</si>
  <si>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</si>
  <si>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</si>
  <si>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</si>
  <si>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</si>
  <si>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</si>
  <si>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</si>
  <si>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</si>
  <si>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</si>
  <si>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</si>
  <si>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</si>
  <si>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</si>
  <si>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</si>
  <si>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</si>
  <si>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</si>
  <si>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</si>
  <si>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</si>
  <si>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</si>
  <si>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</si>
  <si>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</si>
  <si>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</si>
  <si>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</si>
  <si>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</si>
  <si>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</si>
  <si>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</si>
  <si>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</si>
  <si>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</si>
  <si>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</si>
  <si>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</si>
  <si>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</si>
  <si>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</si>
  <si>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</si>
  <si>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</si>
  <si>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</si>
  <si>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</si>
  <si>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</si>
  <si>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</si>
  <si>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</si>
  <si>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</si>
  <si>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</si>
  <si>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</si>
  <si>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</si>
  <si>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</si>
  <si>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</si>
  <si>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</si>
  <si>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</si>
  <si>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</si>
  <si>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</si>
  <si>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</si>
  <si>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</si>
  <si>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</si>
  <si>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</si>
  <si>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</si>
  <si>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</si>
  <si>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</si>
  <si>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</si>
  <si>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</si>
  <si>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</si>
  <si>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</si>
  <si>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</si>
  <si>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</si>
  <si>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</si>
  <si>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</si>
  <si>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</si>
  <si>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</si>
  <si>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</si>
  <si>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</si>
  <si>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</si>
  <si>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</si>
  <si>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</si>
  <si>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</si>
  <si>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</si>
  <si>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</si>
  <si>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</si>
  <si>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</si>
  <si>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</si>
  <si>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</si>
  <si>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</si>
  <si>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</si>
  <si>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</si>
  <si>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</si>
  <si>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</si>
  <si>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</si>
  <si>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</si>
  <si>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</si>
  <si>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</si>
  <si>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</si>
  <si>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</si>
  <si>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</si>
  <si>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</si>
  <si>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</si>
  <si>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</si>
  <si>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</si>
  <si>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</si>
  <si>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</si>
  <si>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</si>
  <si>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</si>
  <si>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</si>
  <si>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</si>
  <si>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</si>
  <si>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</si>
  <si>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</si>
  <si>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</si>
  <si>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</si>
  <si>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</si>
  <si>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</si>
  <si>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</si>
  <si>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</si>
  <si>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</si>
  <si>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</si>
  <si>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</si>
  <si>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</si>
  <si>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</si>
  <si>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</si>
  <si>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</si>
  <si>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</si>
  <si>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</si>
  <si>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</si>
  <si>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</si>
  <si>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</si>
  <si>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</si>
  <si>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</si>
  <si>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</si>
  <si>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</si>
  <si>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</si>
  <si>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</si>
  <si>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</si>
  <si>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</si>
  <si>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</si>
  <si>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</si>
  <si>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</si>
  <si>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</si>
  <si>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</si>
  <si>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</si>
  <si>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</si>
  <si>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</si>
  <si>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</si>
  <si>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</si>
  <si>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</si>
  <si>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</si>
  <si>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</si>
  <si>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</si>
  <si>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</si>
  <si>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</si>
  <si>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</si>
  <si>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</si>
  <si>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</si>
  <si>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</si>
  <si>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</si>
  <si>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</si>
  <si>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</si>
  <si>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</si>
  <si>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</si>
  <si>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</si>
  <si>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</si>
  <si>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</si>
  <si>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</si>
  <si>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</si>
  <si>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</si>
  <si>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</si>
  <si>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</si>
  <si>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</si>
  <si>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</si>
  <si>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</si>
  <si>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</si>
  <si>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</si>
  <si>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</si>
  <si>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</si>
  <si>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</si>
  <si>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</si>
  <si>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</si>
  <si>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</si>
  <si>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</si>
  <si>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</si>
  <si>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</si>
  <si>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</si>
  <si>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</si>
  <si>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</si>
  <si>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</si>
  <si>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</si>
  <si>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</si>
  <si>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</si>
  <si>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</si>
  <si>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</si>
  <si>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</si>
  <si>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</si>
  <si>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</si>
  <si>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</si>
  <si>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</si>
  <si>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</si>
  <si>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</si>
  <si>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</si>
  <si>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</si>
  <si>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</si>
  <si>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</si>
  <si>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</si>
  <si>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</si>
  <si>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</si>
  <si>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</si>
  <si>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</si>
  <si>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</si>
  <si>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</si>
  <si>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</si>
  <si>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</si>
  <si>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</si>
  <si>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</si>
  <si>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</si>
  <si>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</si>
  <si>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</si>
  <si>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</si>
  <si>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</si>
  <si>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</si>
  <si>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</si>
  <si>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</si>
  <si>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</si>
  <si>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</si>
  <si>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</si>
  <si>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</si>
  <si>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</si>
  <si>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</si>
  <si>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</si>
  <si>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</si>
  <si>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</si>
  <si>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</si>
  <si>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</si>
  <si>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</si>
  <si>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</si>
  <si>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</si>
  <si>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</si>
  <si>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</si>
  <si>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</si>
  <si>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</si>
  <si>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</si>
  <si>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</si>
  <si>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</si>
  <si>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</si>
  <si>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</si>
  <si>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</si>
  <si>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</si>
  <si>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</si>
  <si>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</si>
  <si>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</si>
  <si>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</si>
  <si>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</si>
  <si>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</si>
  <si>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</si>
  <si>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</si>
  <si>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</si>
  <si>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</si>
  <si>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</si>
  <si>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</si>
  <si>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</si>
  <si>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</si>
  <si>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</si>
  <si>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</si>
  <si>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</si>
  <si>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</si>
  <si>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</si>
  <si>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</si>
  <si>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</si>
  <si>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</si>
  <si>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</si>
  <si>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</si>
  <si>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</si>
  <si>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</si>
  <si>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</si>
  <si>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</si>
  <si>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</si>
  <si>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</si>
  <si>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</si>
  <si>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</si>
  <si>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</si>
  <si>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</si>
  <si>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</si>
  <si>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</si>
  <si>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</si>
  <si>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</si>
  <si>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</si>
  <si>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</si>
  <si>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</si>
  <si>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</si>
  <si>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</si>
  <si>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</si>
  <si>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</si>
  <si>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</si>
  <si>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</si>
  <si>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</si>
  <si>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</si>
  <si>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</si>
  <si>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</si>
  <si>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</si>
  <si>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</si>
  <si>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</si>
  <si>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</si>
  <si>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</si>
  <si>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</si>
  <si>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</si>
  <si>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</si>
  <si>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</si>
  <si>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</si>
  <si>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</si>
  <si>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</si>
  <si>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</si>
  <si>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</si>
  <si>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</si>
  <si>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</si>
  <si>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</si>
  <si>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</si>
  <si>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</si>
  <si>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</si>
  <si>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</si>
  <si>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</si>
  <si>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</si>
  <si>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</si>
  <si>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</si>
  <si>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</si>
  <si>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</si>
  <si>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</si>
  <si>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</si>
  <si>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</si>
  <si>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</si>
  <si>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</si>
  <si>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</si>
  <si>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</si>
  <si>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</si>
  <si>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</si>
  <si>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</si>
  <si>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</si>
  <si>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</si>
  <si>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</si>
  <si>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</si>
  <si>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</si>
  <si>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</si>
  <si>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</si>
  <si>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</si>
  <si>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</si>
  <si>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</si>
  <si>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</si>
  <si>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</si>
  <si>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</si>
  <si>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</si>
  <si>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</si>
  <si>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</si>
  <si>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</si>
  <si>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</si>
  <si>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</si>
  <si>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</si>
  <si>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</si>
  <si>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</si>
  <si>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</si>
  <si>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</si>
  <si>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</si>
  <si>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</si>
  <si>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</si>
  <si>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</si>
  <si>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</si>
  <si>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</si>
  <si>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</si>
  <si>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</si>
  <si>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</si>
  <si>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</si>
  <si>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</si>
  <si>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</si>
  <si>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</si>
  <si>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</si>
  <si>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</si>
  <si>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</si>
  <si>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</si>
  <si>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</si>
  <si>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</si>
  <si>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</si>
  <si>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</si>
  <si>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</si>
  <si>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</si>
  <si>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</si>
  <si>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</si>
  <si>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</si>
  <si>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</si>
  <si>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</si>
  <si>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</si>
  <si>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</si>
  <si>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</si>
  <si>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</si>
  <si>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</si>
  <si>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</si>
  <si>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</si>
  <si>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</si>
  <si>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</si>
  <si>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</si>
  <si>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</si>
  <si>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</si>
  <si>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</si>
  <si>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</si>
  <si>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</si>
  <si>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</si>
  <si>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</si>
  <si>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</si>
  <si>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</si>
  <si>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</si>
  <si>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</si>
  <si>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</si>
  <si>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</si>
  <si>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</si>
  <si>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</si>
  <si>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</si>
  <si>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</si>
  <si>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</si>
  <si>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</si>
  <si>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</si>
  <si>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</si>
  <si>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</si>
  <si>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</si>
  <si>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</si>
  <si>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</si>
  <si>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</si>
  <si>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</si>
  <si>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</si>
  <si>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</si>
  <si>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</si>
  <si>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</si>
  <si>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</si>
  <si>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</si>
  <si>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</si>
  <si>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</si>
  <si>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</si>
  <si>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</si>
  <si>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</si>
  <si>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</si>
  <si>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</si>
  <si>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</si>
  <si>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</si>
  <si>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</si>
  <si>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</si>
  <si>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</si>
  <si>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</si>
  <si>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</si>
  <si>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</si>
  <si>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</si>
  <si>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</si>
  <si>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</si>
  <si>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</si>
  <si>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</si>
  <si>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</si>
  <si>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</si>
  <si>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</si>
  <si>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</si>
  <si>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</si>
  <si>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</si>
  <si>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</si>
  <si>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</si>
  <si>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</si>
  <si>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</si>
  <si>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</si>
  <si>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</si>
  <si>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</si>
  <si>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</si>
  <si>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</si>
  <si>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</si>
  <si>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</si>
  <si>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</si>
  <si>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</si>
  <si>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</si>
  <si>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</si>
  <si>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</si>
  <si>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</si>
  <si>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</si>
  <si>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</si>
  <si>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</si>
  <si>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</si>
  <si>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</si>
  <si>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</si>
  <si>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</si>
  <si>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</si>
  <si>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</si>
  <si>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</si>
  <si>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</si>
  <si>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</si>
  <si>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</si>
  <si>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</si>
  <si>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</si>
  <si>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</si>
  <si>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</si>
  <si>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</si>
  <si>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</si>
  <si>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</si>
  <si>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</si>
  <si>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</si>
  <si>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</si>
  <si>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</si>
  <si>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</si>
  <si>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</si>
  <si>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</si>
  <si>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</si>
  <si>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</si>
  <si>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</si>
  <si>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</si>
  <si>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</si>
  <si>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</si>
  <si>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</si>
  <si>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</si>
  <si>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</si>
  <si>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</si>
  <si>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</si>
  <si>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</si>
  <si>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</si>
  <si>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</si>
  <si>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</si>
  <si>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</si>
  <si>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</si>
  <si>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</si>
  <si>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</si>
  <si>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</si>
  <si>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</si>
  <si>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</si>
  <si>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</si>
  <si>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</si>
  <si>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</si>
  <si>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</si>
  <si>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</si>
  <si>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</si>
  <si>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</si>
  <si>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</si>
  <si>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</si>
  <si>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</si>
  <si>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</si>
  <si>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</si>
  <si>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</si>
  <si>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</si>
  <si>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</si>
  <si>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</si>
  <si>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</si>
  <si>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</si>
  <si>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</si>
  <si>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</si>
  <si>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</si>
  <si>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</si>
  <si>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</si>
  <si>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</si>
  <si>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</si>
  <si>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</si>
  <si>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</si>
  <si>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</si>
  <si>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</si>
  <si>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</si>
  <si>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</si>
  <si>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</si>
  <si>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</si>
  <si>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</si>
  <si>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</si>
  <si>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</si>
  <si>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</si>
  <si>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</si>
  <si>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</si>
  <si>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</si>
  <si>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</si>
  <si>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</si>
  <si>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</si>
  <si>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</si>
  <si>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</si>
  <si>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</si>
  <si>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</si>
  <si>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</si>
  <si>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</si>
  <si>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</si>
  <si>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</si>
  <si>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</si>
  <si>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</si>
  <si>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</si>
  <si>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</si>
  <si>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</si>
  <si>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</si>
  <si>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</si>
  <si>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</si>
  <si>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</si>
  <si>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</si>
  <si>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</si>
  <si>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</si>
  <si>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</si>
  <si>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</si>
  <si>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</si>
  <si>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</si>
  <si>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</si>
  <si>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</si>
  <si>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</si>
  <si>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</si>
  <si>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</si>
  <si>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</si>
  <si>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</si>
  <si>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</si>
  <si>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</si>
  <si>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</si>
  <si>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</si>
  <si>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</si>
  <si>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</si>
  <si>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</si>
  <si>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</si>
  <si>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</si>
  <si>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</si>
  <si>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</si>
  <si>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</si>
  <si>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</si>
  <si>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</si>
  <si>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</si>
  <si>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</si>
  <si>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</si>
  <si>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</si>
  <si>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</si>
  <si>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</si>
  <si>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</si>
  <si>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</si>
  <si>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</si>
  <si>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</si>
  <si>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</si>
  <si>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</si>
  <si>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</si>
  <si>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</si>
  <si>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</si>
  <si>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</si>
  <si>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</si>
  <si>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</si>
  <si>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</si>
  <si>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</si>
  <si>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</si>
  <si>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</si>
  <si>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</si>
  <si>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</si>
  <si>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</si>
  <si>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</si>
  <si>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</si>
  <si>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</si>
  <si>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</si>
  <si>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</si>
  <si>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</si>
  <si>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</si>
  <si>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</si>
  <si>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</si>
  <si>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</si>
  <si>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</si>
  <si>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</si>
  <si>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</si>
  <si>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</si>
  <si>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</si>
  <si>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</si>
  <si>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</si>
  <si>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</si>
  <si>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</si>
  <si>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</si>
  <si>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</si>
  <si>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</si>
  <si>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</si>
  <si>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</si>
  <si>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</si>
  <si>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</si>
  <si>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</si>
  <si>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</si>
  <si>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</si>
  <si>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</si>
  <si>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</si>
  <si>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</si>
  <si>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</si>
  <si>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</si>
  <si>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</si>
  <si>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</si>
  <si>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</si>
  <si>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</si>
  <si>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</si>
  <si>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</si>
  <si>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</si>
  <si>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</si>
  <si>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</si>
  <si>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</si>
  <si>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</si>
  <si>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</si>
  <si>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</si>
  <si>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</si>
  <si>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</si>
  <si>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</si>
  <si>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</si>
  <si>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</si>
  <si>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</si>
  <si>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</si>
  <si>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</si>
  <si>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</si>
  <si>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</si>
  <si>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</si>
  <si>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</si>
  <si>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</si>
  <si>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</si>
  <si>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</si>
  <si>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</si>
  <si>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</si>
  <si>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</si>
  <si>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</si>
  <si>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</si>
  <si>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</si>
  <si>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</si>
  <si>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</si>
  <si>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</si>
  <si>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</si>
  <si>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</si>
  <si>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</si>
  <si>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</si>
  <si>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</si>
  <si>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</si>
  <si>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</si>
  <si>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</si>
  <si>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</si>
  <si>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</si>
  <si>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</si>
  <si>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</si>
  <si>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</si>
  <si>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</si>
  <si>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</si>
  <si>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</si>
  <si>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</si>
  <si>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</si>
  <si>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</si>
  <si>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</si>
  <si>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</si>
  <si>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</si>
  <si>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</si>
  <si>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</si>
  <si>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</si>
  <si>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</si>
  <si>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</si>
  <si>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</si>
  <si>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</si>
  <si>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</si>
  <si>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</si>
  <si>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</si>
  <si>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</si>
  <si>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</si>
  <si>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</si>
  <si>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</si>
  <si>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</si>
  <si>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</si>
  <si>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</si>
  <si>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</si>
  <si>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</si>
  <si>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</si>
  <si>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</si>
  <si>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</si>
  <si>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</si>
  <si>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</si>
  <si>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</si>
  <si>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</si>
  <si>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</si>
  <si>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</si>
  <si>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</si>
  <si>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</si>
  <si>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</si>
  <si>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</si>
  <si>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</si>
  <si>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</si>
  <si>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</si>
  <si>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</si>
  <si>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</si>
  <si>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</si>
  <si>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</si>
  <si>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</si>
  <si>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</si>
  <si>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</si>
  <si>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</si>
  <si>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</si>
  <si>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</si>
  <si>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</si>
  <si>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</si>
  <si>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</si>
  <si>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</si>
  <si>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</si>
  <si>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</si>
  <si>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</si>
  <si>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</si>
  <si>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</si>
  <si>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</si>
  <si>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</si>
  <si>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</si>
  <si>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</si>
  <si>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</si>
  <si>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</si>
  <si>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</si>
  <si>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</si>
  <si>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</si>
  <si>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</si>
  <si>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</si>
  <si>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</si>
  <si>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</si>
  <si>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</si>
  <si>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</si>
  <si>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</si>
  <si>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</si>
  <si>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</si>
  <si>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</si>
  <si>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</si>
  <si>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</si>
  <si>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</si>
  <si>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</si>
  <si>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</si>
  <si>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</si>
  <si>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</si>
  <si>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</si>
  <si>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</si>
  <si>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</si>
  <si>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</si>
  <si>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</si>
  <si>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</si>
  <si>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</si>
  <si>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</si>
  <si>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</si>
  <si>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</si>
  <si>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</si>
  <si>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</si>
  <si>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</si>
  <si>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</si>
  <si>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</si>
  <si>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</si>
  <si>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</si>
  <si>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</si>
  <si>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</si>
  <si>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</si>
  <si>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</si>
  <si>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</si>
  <si>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</si>
  <si>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</si>
  <si>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</si>
  <si>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</si>
  <si>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</si>
  <si>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</si>
  <si>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</si>
  <si>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</si>
  <si>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</si>
  <si>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</si>
  <si>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</si>
  <si>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</si>
  <si>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</si>
  <si>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</si>
  <si>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</si>
  <si>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</si>
  <si>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</si>
  <si>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</si>
  <si>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</si>
  <si>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</si>
  <si>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</si>
  <si>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</si>
  <si>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</si>
  <si>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</si>
  <si>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</si>
  <si>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</si>
  <si>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</si>
  <si>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</si>
  <si>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</si>
  <si>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</si>
  <si>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</si>
  <si>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</si>
  <si>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</si>
  <si>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</si>
  <si>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</si>
  <si>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</si>
  <si>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</si>
  <si>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</si>
  <si>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</si>
  <si>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</si>
  <si>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</si>
  <si>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</si>
  <si>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</si>
  <si>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</si>
  <si>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</si>
  <si>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</si>
  <si>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</si>
  <si>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</si>
  <si>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</si>
  <si>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</si>
  <si>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</si>
  <si>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</si>
  <si>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</si>
  <si>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</si>
  <si>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</si>
  <si>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</si>
  <si>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</si>
  <si>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</si>
  <si>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</si>
  <si>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</si>
  <si>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</si>
  <si>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</si>
  <si>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</si>
  <si>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</si>
  <si>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</si>
  <si>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</si>
  <si>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</si>
  <si>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</si>
  <si>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</si>
  <si>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</si>
  <si>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</si>
  <si>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</si>
  <si>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</si>
  <si>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</si>
  <si>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</si>
  <si>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</si>
  <si>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</si>
  <si>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</si>
  <si>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</si>
  <si>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</si>
  <si>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</si>
  <si>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</si>
  <si>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</si>
  <si>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</si>
  <si>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</si>
  <si>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</si>
  <si>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</si>
  <si>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</si>
  <si>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</si>
  <si>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</si>
  <si>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</si>
  <si>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</si>
  <si>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</si>
  <si>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</si>
  <si>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</si>
  <si>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</si>
  <si>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</si>
  <si>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</si>
  <si>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</si>
  <si>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</si>
  <si>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</si>
  <si>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</si>
  <si>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</si>
  <si>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</si>
  <si>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</si>
  <si>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</si>
  <si>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</si>
  <si>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</si>
  <si>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</si>
  <si>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</si>
  <si>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</si>
  <si>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</si>
  <si>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</si>
  <si>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</si>
  <si>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</si>
  <si>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</si>
  <si>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</si>
  <si>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</si>
  <si>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</si>
  <si>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</si>
  <si>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</si>
  <si>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</si>
  <si>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</si>
  <si>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</si>
  <si>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</si>
  <si>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</si>
  <si>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</si>
  <si>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</si>
  <si>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</si>
  <si>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</si>
  <si>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</si>
  <si>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</si>
  <si>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</si>
  <si>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</si>
  <si>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</si>
  <si>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</si>
  <si>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</si>
  <si>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</si>
  <si>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</si>
  <si>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</si>
  <si>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</si>
  <si>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</si>
  <si>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</si>
  <si>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</si>
  <si>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</si>
  <si>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</si>
  <si>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</si>
  <si>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</si>
  <si>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</si>
  <si>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</si>
  <si>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</si>
  <si>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</si>
  <si>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</si>
  <si>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</si>
  <si>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</si>
  <si>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</si>
  <si>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</si>
  <si>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</si>
  <si>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</si>
  <si>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</si>
  <si>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</si>
  <si>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</si>
  <si>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</si>
  <si>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</si>
  <si>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</si>
  <si>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</si>
  <si>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</si>
  <si>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</si>
  <si>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</si>
  <si>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</si>
  <si>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</si>
  <si>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</si>
  <si>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</si>
  <si>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</si>
  <si>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</si>
  <si>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</si>
  <si>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</si>
  <si>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</si>
  <si>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</si>
  <si>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</si>
  <si>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</si>
  <si>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</si>
  <si>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</si>
  <si>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</si>
  <si>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</si>
  <si>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</si>
  <si>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</si>
  <si>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</si>
  <si>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</si>
  <si>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</si>
  <si>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</si>
  <si>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</si>
  <si>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</si>
  <si>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</si>
  <si>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</si>
  <si>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</si>
  <si>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</si>
  <si>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</si>
  <si>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</si>
  <si>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</si>
  <si>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</si>
  <si>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</si>
  <si>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</si>
  <si>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</si>
  <si>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</si>
  <si>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</si>
  <si>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</si>
  <si>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</si>
  <si>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</si>
  <si>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</si>
  <si>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</si>
  <si>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</si>
  <si>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</si>
  <si>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</si>
  <si>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</si>
  <si>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</si>
  <si>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</si>
  <si>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</si>
  <si>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</si>
  <si>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</si>
  <si>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</si>
  <si>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</si>
  <si>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</si>
  <si>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</si>
  <si>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</si>
  <si>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</si>
  <si>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</si>
  <si>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</si>
  <si>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</si>
  <si>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</si>
  <si>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</si>
  <si>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</si>
  <si>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</si>
  <si>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</si>
  <si>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</si>
  <si>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</si>
  <si>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</si>
  <si>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</si>
  <si>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</si>
  <si>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</si>
  <si>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</si>
  <si>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</si>
  <si>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</si>
  <si>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</si>
  <si>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</si>
  <si>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</si>
  <si>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</si>
  <si>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</si>
  <si>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</si>
  <si>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</si>
  <si>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</si>
  <si>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</si>
  <si>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</si>
  <si>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</si>
  <si>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</si>
  <si>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</si>
  <si>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</si>
  <si>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</si>
  <si>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</si>
  <si>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</si>
  <si>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</si>
  <si>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</si>
  <si>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</si>
  <si>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</si>
  <si>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</si>
  <si>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</si>
  <si>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</si>
  <si>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</si>
  <si>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</si>
  <si>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</si>
  <si>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</si>
  <si>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</si>
  <si>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</si>
  <si>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</si>
  <si>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</si>
  <si>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</si>
  <si>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</si>
  <si>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</si>
  <si>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</si>
  <si>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</si>
  <si>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</si>
  <si>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</si>
  <si>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</si>
  <si>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</si>
  <si>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</si>
  <si>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</si>
  <si>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</si>
  <si>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</si>
  <si>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</si>
  <si>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</si>
  <si>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</si>
  <si>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</si>
  <si>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</si>
  <si>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</si>
  <si>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</si>
  <si>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</si>
  <si>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</si>
  <si>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</si>
  <si>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</si>
  <si>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</si>
  <si>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</si>
  <si>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</si>
  <si>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</si>
  <si>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</si>
  <si>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</si>
  <si>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</si>
  <si>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</si>
  <si>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</si>
  <si>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</si>
  <si>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</si>
  <si>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</si>
  <si>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</si>
  <si>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</si>
  <si>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</si>
  <si>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</si>
  <si>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</si>
  <si>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</si>
  <si>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</si>
  <si>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</si>
  <si>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</si>
  <si>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</si>
  <si>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</si>
  <si>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</si>
  <si>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</si>
  <si>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</si>
  <si>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</si>
  <si>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</si>
  <si>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</si>
  <si>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</si>
  <si>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</si>
  <si>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</si>
  <si>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</si>
  <si>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</si>
  <si>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</si>
  <si>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</si>
  <si>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</si>
  <si>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</si>
  <si>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</si>
  <si>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</si>
  <si>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</si>
  <si>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</si>
  <si>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</si>
  <si>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</si>
  <si>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</si>
  <si>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</si>
  <si>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</si>
  <si>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</si>
  <si>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</si>
  <si>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</si>
  <si>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</si>
  <si>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</si>
  <si>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</si>
  <si>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</si>
  <si>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</si>
  <si>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</si>
  <si>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</si>
  <si>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</si>
  <si>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</si>
  <si>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</si>
  <si>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</si>
  <si>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</si>
  <si>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</si>
  <si>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</si>
  <si>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</si>
  <si>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</si>
  <si>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</si>
  <si>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</si>
  <si>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</si>
  <si>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</si>
  <si>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</si>
  <si>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</si>
  <si>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</si>
  <si>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</si>
  <si>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</si>
  <si>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</si>
  <si>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</si>
  <si>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</si>
  <si>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</si>
  <si>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</si>
  <si>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</si>
  <si>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</si>
  <si>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</si>
  <si>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</si>
  <si>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</si>
  <si>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</si>
  <si>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</si>
  <si>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</si>
  <si>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</si>
  <si>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</si>
  <si>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</si>
  <si>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</si>
  <si>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</si>
  <si>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</si>
  <si>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</si>
  <si>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</si>
  <si>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</si>
  <si>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</si>
  <si>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</si>
  <si>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</si>
  <si>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</si>
  <si>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</si>
  <si>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</si>
  <si>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</si>
  <si>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</si>
  <si>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</si>
  <si>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</si>
  <si>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</si>
  <si>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</si>
  <si>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</si>
  <si>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</si>
  <si>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</si>
  <si>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</si>
  <si>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</si>
  <si>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</si>
  <si>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</si>
  <si>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</si>
  <si>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</si>
  <si>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</si>
  <si>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</si>
  <si>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</si>
  <si>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</si>
  <si>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</si>
  <si>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</si>
  <si>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</si>
  <si>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</si>
  <si>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</si>
  <si>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</si>
  <si>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</si>
  <si>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</si>
  <si>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</si>
  <si>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</si>
  <si>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</si>
  <si>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</si>
  <si>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</si>
  <si>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</si>
  <si>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</si>
  <si>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</si>
  <si>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</si>
  <si>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</si>
  <si>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</si>
  <si>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</si>
  <si>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</si>
  <si>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</si>
  <si>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</si>
  <si>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</si>
  <si>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</si>
  <si>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</si>
  <si>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</si>
  <si>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</si>
  <si>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</si>
  <si>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</si>
  <si>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</si>
  <si>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</si>
  <si>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</si>
  <si>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</si>
  <si>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</si>
  <si>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</si>
  <si>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</si>
  <si>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</si>
  <si>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</si>
  <si>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</si>
  <si>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</si>
  <si>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</si>
  <si>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</si>
  <si>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</si>
  <si>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</si>
  <si>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</si>
  <si>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</si>
  <si>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</si>
  <si>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</si>
  <si>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</si>
  <si>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</si>
  <si>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</si>
  <si>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</si>
  <si>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</si>
  <si>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</si>
  <si>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</si>
  <si>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</si>
  <si>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</si>
  <si>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</si>
  <si>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</si>
  <si>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</si>
  <si>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</si>
  <si>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</si>
  <si>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</si>
  <si>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</si>
  <si>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</si>
  <si>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</si>
  <si>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</si>
  <si>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</si>
  <si>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</si>
  <si>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</si>
  <si>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</si>
  <si>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</si>
  <si>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</si>
  <si>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</si>
  <si>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</si>
  <si>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</si>
  <si>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</si>
  <si>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</si>
  <si>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</si>
  <si>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</si>
  <si>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</si>
  <si>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</si>
  <si>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</si>
  <si>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</si>
  <si>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</si>
  <si>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</si>
  <si>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</si>
  <si>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</si>
  <si>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</si>
  <si>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</si>
  <si>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</si>
  <si>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</si>
  <si>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</si>
  <si>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</si>
  <si>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</si>
  <si>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</si>
  <si>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</si>
  <si>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</si>
  <si>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</si>
  <si>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</si>
  <si>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</si>
  <si>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</si>
  <si>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</si>
  <si>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</si>
  <si>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</si>
  <si>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</si>
  <si>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</si>
  <si>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</si>
  <si>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</si>
  <si>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</si>
  <si>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</si>
  <si>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</si>
  <si>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</si>
  <si>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</si>
  <si>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</si>
  <si>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</si>
  <si>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</si>
  <si>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</si>
  <si>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</si>
  <si>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</si>
  <si>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</si>
  <si>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</si>
  <si>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</si>
  <si>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</si>
  <si>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</si>
  <si>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</si>
  <si>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</si>
  <si>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</si>
  <si>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</si>
  <si>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</si>
  <si>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</si>
  <si>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</si>
  <si>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</si>
  <si>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</si>
  <si>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</si>
  <si>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</si>
  <si>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</si>
  <si>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</si>
  <si>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</si>
  <si>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</si>
  <si>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</si>
  <si>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</si>
  <si>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</si>
  <si>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</si>
  <si>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</si>
  <si>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</si>
  <si>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</si>
  <si>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</si>
  <si>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</si>
  <si>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</si>
  <si>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</si>
  <si>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</si>
  <si>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</si>
  <si>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</si>
  <si>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</si>
  <si>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</si>
  <si>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</si>
  <si>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</si>
  <si>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</si>
  <si>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</si>
  <si>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</si>
  <si>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</si>
  <si>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</si>
  <si>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</si>
  <si>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</si>
  <si>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</si>
  <si>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</si>
  <si>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</si>
  <si>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</si>
  <si>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</si>
  <si>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</si>
  <si>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</si>
  <si>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</si>
  <si>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</si>
  <si>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</si>
  <si>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</si>
  <si>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</si>
  <si>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</si>
  <si>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</si>
  <si>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</si>
  <si>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</si>
  <si>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</si>
  <si>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</si>
  <si>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</si>
  <si>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</si>
  <si>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</si>
  <si>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</si>
  <si>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</si>
  <si>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</si>
  <si>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</si>
  <si>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</si>
  <si>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</si>
  <si>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</si>
  <si>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</si>
  <si>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</si>
  <si>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</si>
  <si>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</si>
  <si>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</si>
  <si>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</si>
  <si>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</si>
  <si>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</si>
  <si>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</si>
  <si>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</si>
  <si>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</si>
  <si>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</si>
  <si>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</si>
  <si>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</si>
  <si>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</si>
  <si>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</si>
  <si>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</si>
  <si>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</si>
  <si>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</si>
  <si>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</si>
  <si>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</si>
  <si>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</si>
  <si>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</si>
  <si>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</si>
  <si>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</si>
  <si>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</si>
  <si>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</si>
  <si>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</si>
  <si>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</si>
  <si>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</si>
  <si>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</si>
  <si>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</si>
  <si>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</si>
  <si>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</si>
  <si>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</si>
  <si>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</si>
  <si>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</si>
  <si>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</si>
  <si>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</si>
  <si>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</si>
  <si>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</si>
  <si>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</si>
  <si>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</si>
  <si>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</si>
  <si>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</si>
  <si>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</si>
  <si>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</si>
  <si>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</si>
  <si>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</si>
  <si>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</si>
  <si>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</si>
  <si>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</si>
  <si>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</si>
  <si>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</si>
  <si>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</si>
  <si>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</si>
  <si>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</si>
  <si>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</si>
  <si>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</si>
  <si>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</si>
  <si>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</si>
  <si>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</si>
  <si>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</si>
  <si>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</si>
  <si>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</si>
  <si>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</si>
  <si>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</si>
  <si>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</si>
  <si>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</si>
  <si>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</si>
  <si>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</si>
  <si>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</si>
  <si>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</si>
  <si>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</si>
  <si>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</si>
  <si>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</si>
  <si>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</si>
  <si>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</si>
  <si>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</si>
  <si>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</si>
  <si>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</si>
  <si>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</si>
  <si>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</si>
  <si>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</si>
  <si>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</si>
  <si>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</si>
  <si>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</si>
  <si>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</si>
  <si>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</si>
  <si>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</si>
  <si>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</si>
  <si>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</si>
  <si>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</si>
  <si>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</si>
  <si>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</si>
  <si>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</si>
  <si>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</si>
  <si>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</si>
  <si>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</si>
  <si>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</si>
  <si>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</si>
  <si>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</si>
  <si>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</si>
  <si>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</si>
  <si>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</si>
  <si>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</si>
  <si>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</si>
  <si>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</si>
  <si>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</si>
  <si>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</si>
  <si>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</si>
  <si>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</si>
  <si>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</si>
  <si>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</si>
  <si>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</si>
  <si>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</si>
  <si>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</si>
  <si>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</si>
  <si>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</si>
  <si>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</si>
  <si>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</si>
  <si>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</si>
  <si>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</si>
  <si>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</si>
  <si>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</si>
  <si>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</si>
  <si>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</si>
  <si>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</si>
  <si>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</si>
  <si>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</si>
  <si>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</si>
  <si>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</si>
  <si>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</si>
  <si>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</si>
  <si>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</si>
  <si>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</si>
  <si>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</si>
  <si>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</si>
  <si>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</si>
  <si>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</si>
  <si>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</si>
  <si>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</si>
  <si>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</si>
  <si>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</si>
  <si>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</si>
  <si>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</si>
  <si>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</si>
  <si>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</si>
  <si>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</si>
  <si>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</si>
  <si>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</si>
  <si>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</si>
  <si>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</si>
  <si>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</si>
  <si>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</si>
  <si>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</si>
  <si>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</si>
  <si>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</si>
  <si>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</si>
  <si>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</si>
  <si>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</si>
  <si>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</si>
  <si>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</si>
  <si>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</si>
  <si>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</si>
  <si>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</si>
  <si>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</si>
  <si>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</si>
  <si>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</si>
  <si>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</si>
  <si>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</si>
  <si>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</si>
  <si>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</si>
  <si>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</si>
  <si>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</si>
  <si>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</si>
  <si>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</si>
  <si>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</si>
  <si>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</si>
  <si>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</si>
  <si>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</si>
  <si>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</si>
  <si>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</si>
  <si>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</si>
  <si>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</si>
  <si>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</si>
  <si>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</si>
  <si>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</si>
  <si>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</si>
  <si>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</si>
  <si>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</si>
  <si>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</si>
  <si>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</si>
  <si>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</si>
  <si>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</si>
  <si>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</si>
  <si>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</si>
  <si>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</si>
  <si>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</si>
  <si>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</si>
  <si>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</si>
  <si>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</si>
  <si>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</si>
  <si>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</si>
  <si>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</si>
  <si>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</si>
  <si>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</si>
  <si>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</si>
  <si>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</si>
  <si>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</si>
  <si>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</si>
  <si>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</si>
  <si>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</si>
  <si>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</si>
  <si>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</si>
  <si>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</si>
  <si>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</si>
  <si>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</si>
  <si>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</si>
  <si>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</si>
  <si>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</si>
  <si>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</si>
  <si>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</si>
  <si>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</si>
  <si>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</si>
  <si>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</si>
  <si>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</si>
  <si>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</si>
  <si>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</si>
  <si>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</si>
  <si>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</si>
  <si>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</si>
  <si>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</si>
  <si>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</si>
  <si>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</si>
  <si>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</si>
  <si>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</si>
  <si>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</si>
  <si>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</si>
  <si>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</si>
  <si>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</si>
  <si>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</si>
  <si>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</si>
  <si>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</si>
  <si>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</si>
  <si>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</si>
  <si>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</si>
  <si>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</si>
  <si>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</si>
  <si>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</si>
  <si>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</si>
  <si>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</si>
  <si>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</si>
  <si>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</si>
  <si>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</si>
  <si>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</si>
  <si>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</si>
  <si>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</si>
  <si>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</si>
  <si>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</si>
  <si>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</si>
  <si>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</si>
  <si>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</si>
  <si>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</si>
  <si>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</si>
  <si>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</si>
  <si>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</si>
  <si>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</si>
  <si>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</si>
  <si>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</si>
  <si>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</si>
  <si>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</si>
  <si>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</si>
  <si>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</si>
  <si>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</si>
  <si>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</si>
  <si>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</si>
  <si>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</si>
  <si>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</si>
  <si>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</si>
  <si>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</si>
  <si>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</si>
  <si>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</si>
  <si>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</si>
  <si>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</si>
  <si>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</si>
  <si>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</si>
  <si>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</si>
  <si>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</si>
  <si>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</si>
  <si>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</si>
  <si>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</si>
  <si>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</si>
  <si>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</si>
  <si>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</si>
  <si>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</si>
  <si>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</si>
  <si>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</si>
  <si>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</si>
  <si>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</si>
  <si>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</si>
  <si>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</si>
  <si>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</si>
  <si>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</si>
  <si>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</si>
  <si>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</si>
  <si>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</si>
  <si>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</si>
  <si>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</si>
  <si>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</si>
  <si>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</si>
  <si>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</si>
  <si>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</si>
  <si>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</si>
  <si>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</si>
  <si>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</si>
  <si>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</si>
  <si>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</si>
  <si>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</si>
  <si>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</si>
  <si>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</si>
  <si>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</si>
  <si>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</si>
  <si>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</si>
  <si>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</si>
  <si>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</si>
  <si>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</si>
  <si>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</si>
  <si>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</si>
  <si>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</si>
  <si>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</si>
  <si>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</si>
  <si>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</si>
  <si>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</si>
  <si>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</si>
  <si>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</si>
  <si>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</si>
  <si>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</si>
  <si>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</si>
  <si>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</si>
  <si>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</si>
  <si>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</si>
  <si>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</si>
  <si>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</si>
  <si>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</si>
  <si>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</si>
  <si>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</si>
  <si>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</si>
  <si>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</si>
  <si>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</si>
  <si>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</si>
  <si>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</si>
  <si>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</si>
  <si>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</si>
  <si>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</si>
  <si>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</si>
  <si>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</si>
  <si>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</si>
  <si>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</si>
  <si>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</si>
  <si>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</si>
  <si>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</si>
  <si>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</si>
  <si>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</si>
  <si>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</si>
  <si>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</si>
  <si>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</si>
  <si>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</si>
  <si>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</si>
  <si>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</si>
  <si>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</si>
  <si>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</si>
  <si>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</si>
  <si>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</si>
  <si>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</si>
  <si>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</si>
  <si>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</si>
  <si>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</si>
  <si>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</si>
  <si>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</si>
  <si>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</si>
  <si>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</si>
  <si>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</si>
  <si>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</si>
  <si>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</si>
  <si>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</si>
  <si>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</si>
  <si>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</si>
  <si>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</si>
  <si>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</si>
  <si>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</si>
  <si>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</si>
  <si>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</si>
  <si>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</si>
  <si>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</si>
  <si>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</si>
  <si>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</si>
  <si>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</si>
  <si>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</si>
  <si>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</si>
  <si>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</si>
  <si>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</si>
  <si>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</si>
  <si>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</si>
  <si>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</si>
  <si>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</si>
  <si>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</si>
  <si>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</si>
  <si>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</si>
  <si>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</si>
  <si>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</si>
  <si>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</si>
  <si>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</si>
  <si>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</si>
  <si>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</si>
  <si>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</si>
  <si>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</si>
  <si>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</si>
  <si>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</si>
  <si>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</si>
  <si>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</si>
  <si>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</si>
  <si>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</si>
  <si>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</si>
  <si>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</si>
  <si>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</si>
  <si>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</si>
  <si>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</si>
  <si>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</si>
  <si>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</si>
  <si>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</si>
  <si>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</si>
  <si>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</si>
  <si>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</si>
  <si>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</si>
  <si>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</si>
  <si>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</si>
  <si>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</si>
  <si>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</si>
  <si>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</si>
  <si>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</si>
  <si>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</si>
  <si>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</si>
  <si>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</si>
  <si>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</si>
  <si>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</si>
  <si>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</si>
  <si>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</si>
  <si>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</si>
  <si>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</si>
  <si>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</si>
  <si>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</si>
  <si>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</si>
  <si>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</si>
  <si>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</si>
  <si>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</si>
  <si>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</si>
  <si>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</si>
  <si>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</si>
  <si>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</si>
  <si>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</si>
  <si>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</si>
  <si>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</si>
  <si>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</si>
  <si>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</si>
  <si>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</si>
  <si>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</si>
  <si>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</si>
  <si>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</si>
  <si>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</si>
  <si>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</si>
  <si>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</si>
  <si>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</si>
  <si>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</si>
  <si>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</si>
  <si>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</si>
  <si>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</si>
  <si>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</si>
  <si>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</si>
  <si>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</si>
  <si>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</si>
  <si>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</si>
  <si>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</si>
  <si>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</si>
  <si>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</si>
  <si>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</si>
  <si>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</si>
  <si>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</si>
  <si>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</si>
  <si>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</si>
  <si>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</si>
  <si>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</si>
  <si>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</si>
  <si>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</si>
  <si>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</si>
  <si>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</si>
  <si>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</si>
  <si>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</si>
  <si>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</si>
  <si>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</si>
  <si>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</si>
  <si>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</si>
  <si>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</si>
  <si>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</si>
  <si>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</si>
  <si>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</si>
  <si>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</si>
  <si>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</si>
  <si>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</si>
  <si>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</si>
  <si>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</si>
  <si>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</si>
  <si>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</si>
  <si>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</si>
  <si>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</si>
  <si>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</si>
  <si>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</si>
  <si>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</si>
  <si>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</si>
  <si>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</si>
  <si>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</si>
  <si>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</si>
  <si>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</si>
  <si>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</si>
  <si>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</si>
  <si>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</si>
  <si>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</si>
  <si>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</si>
  <si>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</si>
  <si>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</si>
  <si>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</si>
  <si>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</si>
  <si>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</si>
  <si>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</si>
  <si>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</si>
  <si>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</si>
  <si>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</si>
  <si>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</si>
  <si>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</si>
  <si>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</si>
  <si>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</si>
  <si>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</si>
  <si>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</si>
  <si>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</si>
  <si>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</si>
  <si>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</si>
  <si>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</si>
  <si>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</si>
  <si>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</si>
  <si>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</si>
  <si>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</si>
  <si>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</si>
  <si>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</si>
  <si>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</si>
  <si>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</si>
  <si>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</si>
  <si>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</si>
  <si>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</si>
  <si>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</si>
  <si>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</si>
  <si>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</si>
  <si>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</si>
  <si>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</si>
  <si>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</si>
  <si>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</si>
  <si>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</si>
  <si>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</si>
  <si>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</si>
  <si>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</si>
  <si>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</si>
  <si>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</si>
  <si>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</si>
  <si>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</si>
  <si>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</si>
  <si>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</si>
  <si>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</si>
  <si>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</si>
  <si>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</si>
  <si>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</si>
  <si>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 for Display</t>
  </si>
  <si>
    <t xml:space="preserve">Qty </t>
  </si>
  <si>
    <t>Avg Days</t>
  </si>
  <si>
    <t>Row Labels</t>
  </si>
  <si>
    <t>Grand Total</t>
  </si>
  <si>
    <t>Column Labels</t>
  </si>
  <si>
    <t>Female</t>
  </si>
  <si>
    <t>Male</t>
  </si>
  <si>
    <t>Other</t>
  </si>
  <si>
    <t>Unknown</t>
  </si>
  <si>
    <t>for matrix</t>
  </si>
  <si>
    <t>6 To 10</t>
  </si>
  <si>
    <t>More Than 10</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</si>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</sst>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4" x14ac:knownFonts="1">
    <font>
      <sz val="11"/>
      <color theme="1"/>
      <name val="Aptos Narrow"/>
      <family val="2"/>
      <scheme val="minor"/>
    </font>
    <font>
      <b/>
      <sz val="11"/>
      <color theme="1"/>
      <name val="Aptos Narrow"/>
      <family val="2"/>
      <scheme val="minor"/>
    </font>
    <font>
      <b/>
      <sz val="8"/>
      <color theme="1"/>
      <name val="Aptos Narrow"/>
      <family val="2"/>
      <scheme val="minor"/>
    </font>
    <font>
      <b/>
      <sz val="8"/>
      <color theme="1"/>
      <name val="Arial"/>
      <family val="2"/>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6" tint="0.39997558519241921"/>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0" borderId="0" xfId="0" applyFont="1"/>
    <xf numFmtId="0" fontId="1" fillId="0" borderId="1" xfId="0" applyFont="1" applyBorder="1"/>
    <xf numFmtId="0" fontId="0" fillId="4" borderId="0" xfId="0" applyFill="1"/>
    <xf numFmtId="0" fontId="2" fillId="0" borderId="0" xfId="0" applyFont="1"/>
    <xf numFmtId="0" fontId="3" fillId="0" borderId="0" xfId="0" applyFont="1"/>
    <xf numFmtId="165" fontId="2" fillId="0" borderId="2" xfId="0" applyNumberFormat="1" applyFont="1"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D4AF37"/>
      <color rgb="FFF2DC82"/>
      <color rgb="FFFFA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[ecommerce-blank.xlsx]pivots!PivotTable2</c:name>
    <c:fmtId val="21"/>
  </c:pivotSource>
  <c:chart>
    <c:autoTitleDeleted val="1"/>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3BA-45B2-AA14-607BCF8AFFDD}"/>
            </c:ext>
          </c:extLst>
        </c:ser>
        <c:dLbls>
          <c:showLegendKey val="0"/>
          <c:showVal val="0"/>
          <c:showCatName val="0"/>
          <c:showSerName val="0"/>
          <c:showPercent val="0"/>
          <c:showBubbleSize val="0"/>
        </c:dLbls>
        <c:marker val="1"/>
        <c:smooth val="0"/>
        <c:axId val="1014970976"/>
        <c:axId val="990322048"/>
      </c:lineChart>
      <c:lineChart>
        <c:grouping val="standard"/>
        <c:varyColors val="0"/>
        <c:ser>
          <c:idx val="1"/>
          <c:order val="1"/>
          <c:tx>
            <c:strRef>
              <c:f>pivots!$C$11</c:f>
              <c:strCache>
                <c:ptCount val="1"/>
                <c:pt idx="0">
                  <c:v>Sum of Amount</c:v>
                </c:pt>
              </c:strCache>
            </c:strRef>
          </c:tx>
          <c:spPr>
            <a:ln w="28575" cap="rnd">
              <a:solidFill>
                <a:schemeClr val="accent4"/>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3BA-45B2-AA14-607BCF8AFFDD}"/>
            </c:ext>
          </c:extLst>
        </c:ser>
        <c:dLbls>
          <c:showLegendKey val="0"/>
          <c:showVal val="0"/>
          <c:showCatName val="0"/>
          <c:showSerName val="0"/>
          <c:showPercent val="0"/>
          <c:showBubbleSize val="0"/>
        </c:dLbls>
        <c:marker val="1"/>
        <c:smooth val="0"/>
        <c:axId val="1023926848"/>
        <c:axId val="990304288"/>
      </c:lineChart>
      <c:catAx>
        <c:axId val="101497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90322048"/>
        <c:crosses val="autoZero"/>
        <c:auto val="1"/>
        <c:lblAlgn val="ctr"/>
        <c:lblOffset val="100"/>
        <c:noMultiLvlLbl val="0"/>
      </c:catAx>
      <c:valAx>
        <c:axId val="99032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14970976"/>
        <c:crosses val="autoZero"/>
        <c:crossBetween val="between"/>
      </c:valAx>
      <c:valAx>
        <c:axId val="99030428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23926848"/>
        <c:crosses val="max"/>
        <c:crossBetween val="between"/>
      </c:valAx>
      <c:catAx>
        <c:axId val="102392684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9030428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[ecommerce-blank.xlsx]Sheet4!PivotTable4</c:name>
    <c:fmtId val="9"/>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B78-4B8C-8211-419C886A460C}"/>
            </c:ext>
          </c:extLst>
        </c:ser>
        <c:dLbls>
          <c:showLegendKey val="0"/>
          <c:showVal val="0"/>
          <c:showCatName val="0"/>
          <c:showSerName val="0"/>
          <c:showPercent val="0"/>
          <c:showBubbleSize val="0"/>
        </c:dLbls>
        <c:gapWidth val="34"/>
        <c:overlap val="-27"/>
        <c:axId val="1023906896"/>
        <c:axId val="990313408"/>
      </c:barChart>
      <c:catAx>
        <c:axId val="10239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990313408"/>
        <c:crosses val="autoZero"/>
        <c:auto val="1"/>
        <c:lblAlgn val="ctr"/>
        <c:lblOffset val="100"/>
        <c:noMultiLvlLbl val="0"/>
      </c:catAx>
      <c:valAx>
        <c:axId val="99031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ysClr val="windowText" lastClr="000000"/>
                </a:solidFill>
                <a:latin typeface="+mn-lt"/>
                <a:ea typeface="+mn-ea"/>
                <a:cs typeface="+mn-cs"/>
              </a:defRPr>
            </a:pPr>
            <a:endParaRPr lang="en-US"/>
          </a:p>
        </c:txPr>
        <c:crossAx val="10239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ysClr val="windowText" lastClr="000000"/>
                </a:solidFill>
              </a:rPr>
              <a:t>Which</a:t>
            </a:r>
            <a:r>
              <a:rPr lang="en-IN" sz="1050" b="1" baseline="0">
                <a:solidFill>
                  <a:sysClr val="windowText" lastClr="000000"/>
                </a:solidFill>
              </a:rPr>
              <a:t> Products are popular? Breakdown by Gender</a:t>
            </a:r>
            <a:endParaRPr lang="en-IN"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rgbClr val="002060"/>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3FA-4E48-8267-BD8071DCF9E4}"/>
            </c:ext>
          </c:extLst>
        </c:ser>
        <c:ser>
          <c:idx val="1"/>
          <c:order val="1"/>
          <c:tx>
            <c:strRef>
              <c:f>Sheet5!$C$3:$C$4</c:f>
              <c:strCache>
                <c:ptCount val="1"/>
                <c:pt idx="0">
                  <c:v>Male</c:v>
                </c:pt>
              </c:strCache>
            </c:strRef>
          </c:tx>
          <c:spPr>
            <a:solidFill>
              <a:srgbClr val="FF0000"/>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7-659D-4A7D-903E-FFD0F8B66FAA}"/>
            </c:ext>
          </c:extLst>
        </c:ser>
        <c:ser>
          <c:idx val="2"/>
          <c:order val="2"/>
          <c:tx>
            <c:strRef>
              <c:f>Sheet5!$D$3:$D$4</c:f>
              <c:strCache>
                <c:ptCount val="1"/>
                <c:pt idx="0">
                  <c:v>Other</c:v>
                </c:pt>
              </c:strCache>
            </c:strRef>
          </c:tx>
          <c:spPr>
            <a:solidFill>
              <a:schemeClr val="accent4">
                <a:lumMod val="75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8-659D-4A7D-903E-FFD0F8B66FAA}"/>
            </c:ext>
          </c:extLst>
        </c:ser>
        <c:ser>
          <c:idx val="3"/>
          <c:order val="3"/>
          <c:tx>
            <c:strRef>
              <c:f>Sheet5!$E$3:$E$4</c:f>
              <c:strCache>
                <c:ptCount val="1"/>
                <c:pt idx="0">
                  <c:v>Unknown</c:v>
                </c:pt>
              </c:strCache>
            </c:strRef>
          </c:tx>
          <c:spPr>
            <a:solidFill>
              <a:srgbClr val="00B0F0"/>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9-659D-4A7D-903E-FFD0F8B66FAA}"/>
            </c:ext>
          </c:extLst>
        </c:ser>
        <c:dLbls>
          <c:showLegendKey val="0"/>
          <c:showVal val="0"/>
          <c:showCatName val="0"/>
          <c:showSerName val="0"/>
          <c:showPercent val="0"/>
          <c:showBubbleSize val="0"/>
        </c:dLbls>
        <c:gapWidth val="200"/>
        <c:overlap val="100"/>
        <c:axId val="1065996864"/>
        <c:axId val="990314848"/>
      </c:barChart>
      <c:catAx>
        <c:axId val="1065996864"/>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990314848"/>
        <c:crosses val="autoZero"/>
        <c:auto val="1"/>
        <c:lblAlgn val="ctr"/>
        <c:lblOffset val="100"/>
        <c:noMultiLvlLbl val="0"/>
      </c:catAx>
      <c:valAx>
        <c:axId val="99031484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6599686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2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0146432769896253"/>
              <c:y val="0.289830005633247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7.247451978497324E-2"/>
              <c:y val="0.228813162342037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21742355935491972"/>
              <c:y val="-3.05084216456050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layout>
            <c:manualLayout>
              <c:x val="0.21742355935491972"/>
              <c:y val="-4.57626324684075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705882352941177"/>
          <c:y val="0.17499999999999999"/>
          <c:w val="0.69411764705882351"/>
          <c:h val="0.73750000000000004"/>
        </c:manualLayout>
      </c:layout>
      <c:doughnutChart>
        <c:varyColors val="1"/>
        <c:ser>
          <c:idx val="0"/>
          <c:order val="0"/>
          <c:tx>
            <c:strRef>
              <c:f>Sheet5!$N$8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F68-46C9-9942-76374EFD169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F68-46C9-9942-76374EFD169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F68-46C9-9942-76374EFD169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1F68-46C9-9942-76374EFD1699}"/>
              </c:ext>
            </c:extLst>
          </c:dPt>
          <c:dLbls>
            <c:dLbl>
              <c:idx val="0"/>
              <c:layout>
                <c:manualLayout>
                  <c:x val="0.10146432769896253"/>
                  <c:y val="0.2898300056332479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68-46C9-9942-76374EFD1699}"/>
                </c:ext>
              </c:extLst>
            </c:dLbl>
            <c:dLbl>
              <c:idx val="1"/>
              <c:layout>
                <c:manualLayout>
                  <c:x val="-7.247451978497324E-2"/>
                  <c:y val="0.228813162342037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68-46C9-9942-76374EFD1699}"/>
                </c:ext>
              </c:extLst>
            </c:dLbl>
            <c:dLbl>
              <c:idx val="2"/>
              <c:layout>
                <c:manualLayout>
                  <c:x val="-0.21742355935491972"/>
                  <c:y val="-3.05084216456050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68-46C9-9942-76374EFD1699}"/>
                </c:ext>
              </c:extLst>
            </c:dLbl>
            <c:dLbl>
              <c:idx val="3"/>
              <c:layout>
                <c:manualLayout>
                  <c:x val="0.21742355935491972"/>
                  <c:y val="-4.57626324684075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F68-46C9-9942-76374EFD16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Sheet5!$M$9:$M$13</c:f>
              <c:strCache>
                <c:ptCount val="4"/>
                <c:pt idx="0">
                  <c:v>Female</c:v>
                </c:pt>
                <c:pt idx="1">
                  <c:v>Male</c:v>
                </c:pt>
                <c:pt idx="2">
                  <c:v>Other</c:v>
                </c:pt>
                <c:pt idx="3">
                  <c:v>Unknown</c:v>
                </c:pt>
              </c:strCache>
            </c:strRef>
          </c:cat>
          <c:val>
            <c:numRef>
              <c:f>Sheet5!$N$9:$N$13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F68-46C9-9942-76374EFD16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rgbClr val="002060"/>
            </a:solidFill>
            <a:ln>
              <a:noFill/>
            </a:ln>
            <a:effectLst/>
          </c:spPr>
          <c:invertIfNegative val="0"/>
          <c:cat>
            <c:strRef>
              <c:f>Sheet1!$A$4:$A$19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78D-46B1-AA9D-402E3A6C295B}"/>
            </c:ext>
          </c:extLst>
        </c:ser>
        <c:dLbls>
          <c:showLegendKey val="0"/>
          <c:showVal val="0"/>
          <c:showCatName val="0"/>
          <c:showSerName val="0"/>
          <c:showPercent val="0"/>
          <c:showBubbleSize val="0"/>
        </c:dLbls>
        <c:gapWidth val="102"/>
        <c:overlap val="100"/>
        <c:axId val="334475679"/>
        <c:axId val="272954335"/>
      </c:barChart>
      <c:catAx>
        <c:axId val="3344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272954335"/>
        <c:crosses val="autoZero"/>
        <c:auto val="1"/>
        <c:lblAlgn val="ctr"/>
        <c:lblOffset val="100"/>
        <c:noMultiLvlLbl val="0"/>
      </c:catAx>
      <c:valAx>
        <c:axId val="27295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33447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[ecommerce-blank.xlsx]Sheet2!PivotTable2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1</c:v>
                </c:pt>
              </c:strCache>
            </c:strRef>
          </c:tx>
          <c:spPr>
            <a:solidFill>
              <a:schemeClr val="accent1"/>
            </a:solidFill>
            <a:ln>
              <a:noFill/>
            </a:ln>
            <a:effectLst/>
          </c:spPr>
          <c:invertIfNegative val="0"/>
          <c:cat>
            <c:strRef>
              <c:f>Sheet2!$A$5:$A$8</c:f>
              <c:strCache>
                <c:ptCount val="3"/>
                <c:pt idx="0">
                  <c:v>Jan</c:v>
                </c:pt>
                <c:pt idx="1">
                  <c:v>Feb</c:v>
                </c:pt>
                <c:pt idx="2">
                  <c:v>Mar</c:v>
                </c:pt>
              </c:strCache>
            </c:strRef>
          </c:cat>
          <c:val>
            <c:numRef>
              <c:f>Sheet2!$B$5:$B$8</c:f>
              <c:numCache>
                <c:formatCode>General</c:formatCode>
                <c:ptCount val="3"/>
                <c:pt idx="0">
                  <c:v>7</c:v>
                </c:pt>
                <c:pt idx="1">
                  <c:v>8</c:v>
                </c:pt>
                <c:pt idx="2">
                  <c:v>6</c:v>
                </c:pt>
              </c:numCache>
            </c:numRef>
          </c:val>
          <c:extLst>
            <c:ext xmlns:c16="http://schemas.microsoft.com/office/drawing/2014/chart" uri="{C3380CC4-5D6E-409C-BE32-E72D297353CC}">
              <c16:uniqueId val="{00000000-346D-4290-A9E0-0179BB5BE494}"/>
            </c:ext>
          </c:extLst>
        </c:ser>
        <c:ser>
          <c:idx val="1"/>
          <c:order val="1"/>
          <c:tx>
            <c:strRef>
              <c:f>Sheet2!$C$3:$C$4</c:f>
              <c:strCache>
                <c:ptCount val="1"/>
                <c:pt idx="0">
                  <c:v>2</c:v>
                </c:pt>
              </c:strCache>
            </c:strRef>
          </c:tx>
          <c:spPr>
            <a:solidFill>
              <a:schemeClr val="accent2"/>
            </a:solidFill>
            <a:ln>
              <a:noFill/>
            </a:ln>
            <a:effectLst/>
          </c:spPr>
          <c:invertIfNegative val="0"/>
          <c:cat>
            <c:strRef>
              <c:f>Sheet2!$A$5:$A$8</c:f>
              <c:strCache>
                <c:ptCount val="3"/>
                <c:pt idx="0">
                  <c:v>Jan</c:v>
                </c:pt>
                <c:pt idx="1">
                  <c:v>Feb</c:v>
                </c:pt>
                <c:pt idx="2">
                  <c:v>Mar</c:v>
                </c:pt>
              </c:strCache>
            </c:strRef>
          </c:cat>
          <c:val>
            <c:numRef>
              <c:f>Sheet2!$C$5:$C$8</c:f>
              <c:numCache>
                <c:formatCode>General</c:formatCode>
                <c:ptCount val="3"/>
                <c:pt idx="0">
                  <c:v>37</c:v>
                </c:pt>
                <c:pt idx="1">
                  <c:v>51</c:v>
                </c:pt>
                <c:pt idx="2">
                  <c:v>39</c:v>
                </c:pt>
              </c:numCache>
            </c:numRef>
          </c:val>
          <c:extLst>
            <c:ext xmlns:c16="http://schemas.microsoft.com/office/drawing/2014/chart" uri="{C3380CC4-5D6E-409C-BE32-E72D297353CC}">
              <c16:uniqueId val="{00000001-346D-4290-A9E0-0179BB5BE494}"/>
            </c:ext>
          </c:extLst>
        </c:ser>
        <c:ser>
          <c:idx val="2"/>
          <c:order val="2"/>
          <c:tx>
            <c:strRef>
              <c:f>Sheet2!$D$3:$D$4</c:f>
              <c:strCache>
                <c:ptCount val="1"/>
                <c:pt idx="0">
                  <c:v>3</c:v>
                </c:pt>
              </c:strCache>
            </c:strRef>
          </c:tx>
          <c:spPr>
            <a:solidFill>
              <a:schemeClr val="accent3"/>
            </a:solidFill>
            <a:ln>
              <a:noFill/>
            </a:ln>
            <a:effectLst/>
          </c:spPr>
          <c:invertIfNegative val="0"/>
          <c:cat>
            <c:strRef>
              <c:f>Sheet2!$A$5:$A$8</c:f>
              <c:strCache>
                <c:ptCount val="3"/>
                <c:pt idx="0">
                  <c:v>Jan</c:v>
                </c:pt>
                <c:pt idx="1">
                  <c:v>Feb</c:v>
                </c:pt>
                <c:pt idx="2">
                  <c:v>Mar</c:v>
                </c:pt>
              </c:strCache>
            </c:strRef>
          </c:cat>
          <c:val>
            <c:numRef>
              <c:f>Sheet2!$D$5:$D$8</c:f>
              <c:numCache>
                <c:formatCode>General</c:formatCode>
                <c:ptCount val="3"/>
                <c:pt idx="0">
                  <c:v>150</c:v>
                </c:pt>
                <c:pt idx="1">
                  <c:v>182</c:v>
                </c:pt>
                <c:pt idx="2">
                  <c:v>163</c:v>
                </c:pt>
              </c:numCache>
            </c:numRef>
          </c:val>
          <c:extLst>
            <c:ext xmlns:c16="http://schemas.microsoft.com/office/drawing/2014/chart" uri="{C3380CC4-5D6E-409C-BE32-E72D297353CC}">
              <c16:uniqueId val="{00000002-346D-4290-A9E0-0179BB5BE494}"/>
            </c:ext>
          </c:extLst>
        </c:ser>
        <c:ser>
          <c:idx val="3"/>
          <c:order val="3"/>
          <c:tx>
            <c:strRef>
              <c:f>Sheet2!$E$3:$E$4</c:f>
              <c:strCache>
                <c:ptCount val="1"/>
                <c:pt idx="0">
                  <c:v>4</c:v>
                </c:pt>
              </c:strCache>
            </c:strRef>
          </c:tx>
          <c:spPr>
            <a:solidFill>
              <a:schemeClr val="accent4"/>
            </a:solidFill>
            <a:ln>
              <a:noFill/>
            </a:ln>
            <a:effectLst/>
          </c:spPr>
          <c:invertIfNegative val="0"/>
          <c:cat>
            <c:strRef>
              <c:f>Sheet2!$A$5:$A$8</c:f>
              <c:strCache>
                <c:ptCount val="3"/>
                <c:pt idx="0">
                  <c:v>Jan</c:v>
                </c:pt>
                <c:pt idx="1">
                  <c:v>Feb</c:v>
                </c:pt>
                <c:pt idx="2">
                  <c:v>Mar</c:v>
                </c:pt>
              </c:strCache>
            </c:strRef>
          </c:cat>
          <c:val>
            <c:numRef>
              <c:f>Sheet2!$E$5:$E$8</c:f>
              <c:numCache>
                <c:formatCode>General</c:formatCode>
                <c:ptCount val="3"/>
                <c:pt idx="0">
                  <c:v>312</c:v>
                </c:pt>
                <c:pt idx="1">
                  <c:v>373</c:v>
                </c:pt>
                <c:pt idx="2">
                  <c:v>351</c:v>
                </c:pt>
              </c:numCache>
            </c:numRef>
          </c:val>
          <c:extLst>
            <c:ext xmlns:c16="http://schemas.microsoft.com/office/drawing/2014/chart" uri="{C3380CC4-5D6E-409C-BE32-E72D297353CC}">
              <c16:uniqueId val="{0000000D-346D-4290-A9E0-0179BB5BE494}"/>
            </c:ext>
          </c:extLst>
        </c:ser>
        <c:ser>
          <c:idx val="4"/>
          <c:order val="4"/>
          <c:tx>
            <c:strRef>
              <c:f>Sheet2!$F$3:$F$4</c:f>
              <c:strCache>
                <c:ptCount val="1"/>
                <c:pt idx="0">
                  <c:v>5</c:v>
                </c:pt>
              </c:strCache>
            </c:strRef>
          </c:tx>
          <c:spPr>
            <a:solidFill>
              <a:schemeClr val="accent5"/>
            </a:solidFill>
            <a:ln>
              <a:noFill/>
            </a:ln>
            <a:effectLst/>
          </c:spPr>
          <c:invertIfNegative val="0"/>
          <c:cat>
            <c:strRef>
              <c:f>Sheet2!$A$5:$A$8</c:f>
              <c:strCache>
                <c:ptCount val="3"/>
                <c:pt idx="0">
                  <c:v>Jan</c:v>
                </c:pt>
                <c:pt idx="1">
                  <c:v>Feb</c:v>
                </c:pt>
                <c:pt idx="2">
                  <c:v>Mar</c:v>
                </c:pt>
              </c:strCache>
            </c:strRef>
          </c:cat>
          <c:val>
            <c:numRef>
              <c:f>Sheet2!$F$5:$F$8</c:f>
              <c:numCache>
                <c:formatCode>General</c:formatCode>
                <c:ptCount val="3"/>
                <c:pt idx="0">
                  <c:v>224</c:v>
                </c:pt>
                <c:pt idx="1">
                  <c:v>247</c:v>
                </c:pt>
                <c:pt idx="2">
                  <c:v>250</c:v>
                </c:pt>
              </c:numCache>
            </c:numRef>
          </c:val>
          <c:extLst>
            <c:ext xmlns:c16="http://schemas.microsoft.com/office/drawing/2014/chart" uri="{C3380CC4-5D6E-409C-BE32-E72D297353CC}">
              <c16:uniqueId val="{0000000E-346D-4290-A9E0-0179BB5BE494}"/>
            </c:ext>
          </c:extLst>
        </c:ser>
        <c:dLbls>
          <c:showLegendKey val="0"/>
          <c:showVal val="0"/>
          <c:showCatName val="0"/>
          <c:showSerName val="0"/>
          <c:showPercent val="0"/>
          <c:showBubbleSize val="0"/>
        </c:dLbls>
        <c:gapWidth val="219"/>
        <c:overlap val="-27"/>
        <c:axId val="328025247"/>
        <c:axId val="272972095"/>
      </c:barChart>
      <c:catAx>
        <c:axId val="32802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272972095"/>
        <c:crosses val="autoZero"/>
        <c:auto val="1"/>
        <c:lblAlgn val="ctr"/>
        <c:lblOffset val="100"/>
        <c:noMultiLvlLbl val="0"/>
      </c:catAx>
      <c:valAx>
        <c:axId val="27297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32802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[ecommerce-blank.xlsx]Sheet5!PivotTable5</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6"/>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ADA-4D1A-A217-B0BF31C51797}"/>
            </c:ext>
          </c:extLst>
        </c:ser>
        <c:ser>
          <c:idx val="1"/>
          <c:order val="1"/>
          <c:tx>
            <c:strRef>
              <c:f>Sheet5!$C$3:$C$4</c:f>
              <c:strCache>
                <c:ptCount val="1"/>
                <c:pt idx="0">
                  <c:v>Male</c:v>
                </c:pt>
              </c:strCache>
            </c:strRef>
          </c:tx>
          <c:spPr>
            <a:solidFill>
              <a:schemeClr val="accent5"/>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7-1858-4436-8FEE-0B1AE77263A5}"/>
            </c:ext>
          </c:extLst>
        </c:ser>
        <c:ser>
          <c:idx val="2"/>
          <c:order val="2"/>
          <c:tx>
            <c:strRef>
              <c:f>Sheet5!$D$3:$D$4</c:f>
              <c:strCache>
                <c:ptCount val="1"/>
                <c:pt idx="0">
                  <c:v>Other</c:v>
                </c:pt>
              </c:strCache>
            </c:strRef>
          </c:tx>
          <c:spPr>
            <a:solidFill>
              <a:schemeClr val="accent4"/>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8-1858-4436-8FEE-0B1AE77263A5}"/>
            </c:ext>
          </c:extLst>
        </c:ser>
        <c:ser>
          <c:idx val="3"/>
          <c:order val="3"/>
          <c:tx>
            <c:strRef>
              <c:f>Sheet5!$E$3:$E$4</c:f>
              <c:strCache>
                <c:ptCount val="1"/>
                <c:pt idx="0">
                  <c:v>Unknown</c:v>
                </c:pt>
              </c:strCache>
            </c:strRef>
          </c:tx>
          <c:spPr>
            <a:solidFill>
              <a:schemeClr val="accent6">
                <a:lumMod val="60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9-1858-4436-8FEE-0B1AE77263A5}"/>
            </c:ext>
          </c:extLst>
        </c:ser>
        <c:dLbls>
          <c:showLegendKey val="0"/>
          <c:showVal val="0"/>
          <c:showCatName val="0"/>
          <c:showSerName val="0"/>
          <c:showPercent val="0"/>
          <c:showBubbleSize val="0"/>
        </c:dLbls>
        <c:gapWidth val="150"/>
        <c:overlap val="100"/>
        <c:axId val="1065996864"/>
        <c:axId val="990314848"/>
      </c:barChart>
      <c:catAx>
        <c:axId val="106599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14848"/>
        <c:crosses val="autoZero"/>
        <c:auto val="1"/>
        <c:lblAlgn val="ctr"/>
        <c:lblOffset val="100"/>
        <c:noMultiLvlLbl val="0"/>
      </c:catAx>
      <c:valAx>
        <c:axId val="99031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9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2E6-446C-8A4A-05607D4A0CAA}"/>
            </c:ext>
          </c:extLst>
        </c:ser>
        <c:dLbls>
          <c:showLegendKey val="0"/>
          <c:showVal val="0"/>
          <c:showCatName val="0"/>
          <c:showSerName val="0"/>
          <c:showPercent val="0"/>
          <c:showBubbleSize val="0"/>
        </c:dLbls>
        <c:gapWidth val="219"/>
        <c:overlap val="-27"/>
        <c:axId val="1023906896"/>
        <c:axId val="990313408"/>
      </c:barChart>
      <c:catAx>
        <c:axId val="10239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13408"/>
        <c:crosses val="autoZero"/>
        <c:auto val="1"/>
        <c:lblAlgn val="ctr"/>
        <c:lblOffset val="100"/>
        <c:noMultiLvlLbl val="0"/>
      </c:catAx>
      <c:valAx>
        <c:axId val="99031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solidFill>
              <a:latin typeface="Aptos Narrow" panose="02110004020202020204"/>
            </a:rPr>
            <a:t>Where do our customer live?</a:t>
          </a:r>
        </a:p>
      </cx:txPr>
    </cx:title>
    <cx:plotArea>
      <cx:plotAreaRegion>
        <cx:series layoutId="regionMap" uniqueId="{00000000-641E-45E3-AA8C-7B4DAC67BCC3}">
          <cx:tx>
            <cx:txData>
              <cx:f>_xlchart.v5.2</cx:f>
              <cx:v>Sum of Quantity</cx:v>
            </cx:txData>
          </cx:tx>
          <cx:spPr>
            <a:ln>
              <a:solidFill>
                <a:schemeClr val="accent2">
                  <a:lumMod val="50000"/>
                </a:schemeClr>
              </a:solidFill>
            </a:ln>
          </cx:spPr>
          <cx:dataId val="0"/>
          <cx:layoutPr>
            <cx:geography cultureLanguage="en-US" cultureRegion="IN" attribution="Powered by Bing">
              <cx:geoCache provider="{E9337A44-BEBE-4D9F-B70C-5C5E7DAFC167}">
                <cx:binary>5H1rc+M2Eu1fmZrPlw4BEASwtdmqkJRk+T32PDL5wtLYGoLvB8Dnr78t2zOxKHmWrorq1uoqSaVs
qukmD9DoPt1o/Pu++9d9sl5V77o0ydS/7rvf30uti3/99pu6l+t0pU7S8L7KVf5dn9zn6W/59+/h
/fq3h2rVhlnwGzaR9du9XFV63b3/z7/hbsE6v8jvVzrMsw/1uupv16pOtPrFtb2X3q0e0jDzQqWr
8F6j39+7qyT8nldZuHq/fQ3//v5ulb1z1lW2qh7CLH/n5nWm+/fv1pkOdf+xL9a/v9+6HX7/7rfx
X93R8F0CD6HrBxAm1gkyOUGcEPPxQ96/S/IseL5sIMROsLBMwcSPv3q1SkHw7Yo9qrV6eKjWSsFz
Pv7/1ftsPRS8oj8mv5r7zSvagBMATr+//5SFev3w7k6v9Fq9fxeq/PEdVr2bb57/093jC/ttG97/
/Hv0C3iFo9+8GAHj9/3fLm2D/F8GAAyOVbOuVuoA2PMTJGyMMGNP2MPg2cIemyc2NwUmlr0N/puU
2o/77i0mQL4rdGRoz2FyHGSa2yeMIJtShMTTZwQ1EieMU/gH0W2op2u0H+eR/ASQRxJHhvAfCZjP
h9UBZjM74abFMbfJE8JsBDHGJ5hhi9kwzZ/WjydL/gaN9kM8vsEEjMciRwby1zw5xFrNT2zGLFiN
YY5uG2p0AhcYQjbaxnaqIvuB3ZKegOrW948M0j+SIszWB5i2AKog1EbUepq2fITtxjLDh1JmbWM7
XaP96I7kJ+A7kjgyhM/BzT4AvvSEMAJT1rKfnCyYoVtzF/A1EReIYDDYL+3yVH32o7slPQHbre8f
GbJ/pKuHvDoAtvyEwHpqYg5TcwtU8JwZw1gQUzyiPjLL0xXaD+5IfgK8I4kjA9iptT6EbRYnFEH0
A5N3v23G6ITCxEYIjwCerNB+fLfFJ8C7LXBk6F7mBwmJ+AmGRZXb/AlbMfaXwTBjzLlg5oj6mKrP
fmy3pCdAu/X9I0PWzZNaHSIWAug2vAV4Va8wG/jEBNrLFtYo3J2u0X50R/IT8B1JHBnCd+G6qg6D
MLVNAuGu9YTwmLeEFRgumjC9n4bAyEBP12s/ziP5CTiPJI4MZzcH0nWDs9KHQJs/+siCEPbKQoxP
ELE4ZQjCp5dO9Fv12o/23rtMwHyv3JEhf7mqwiI/iBVnJxa3MKMcvxo6CdtiHMMS/fjZxv4tmu3H
fecOEzDfkTkyvL118u4qh6zYPx9PWUBjUQsCJ4iHHz9jlwxbsK5bBCjMEYf5JqX2Y717iwlg7wod
Gdqz5J2XVxA+//NoE37CsLApfuarBbjZO0G0EAjM+hN1MlrC36Tafsx3bzEB812hI8N8kayzQzBh
EE1jkyKBIZu4DTSs3oIjRuhoWk/WZD+82+IToN0WODJYT+v0W5486H9+JlvAdnEbWdYuslBeYCNi
giu+b4V+i0r7Id65wwSUd2SODOi71X0FScZMH8ZoUwYJCwvqAvYv0egEMlTwD9Bmm8/IaL9Nt/2Y
77nHBNT3SB0Z7su0WFfhKvnnJzjBJ0xgTi2CnjzxcbSN6AmF6gKKgA3fg/pbNNuP+c4dJiC+I3Ns
eGf9IWa4DXUEGFZqyDT/sNlbqzXalA0J2+Z8FGsvJ+rzCsIvpaeg+/L7R4bsORQgHqLgyz6BLCPU
gFj0FWjFiQ3XIJ0xzkVOVWg/ttvPMwHcbYEjQ/diFR8geCaQRwb7DFTIcyXnTjUfPhGIIpuzUTXf
VH32Y7slPQHare8fGbJf62+rA6y+4gRZCBZXSEU9fnaQhTQkoMotG9bll+znVH32I7slPQHZre8f
GbIXK6XWBwiKIXQCaC0unilOc+xZbWpw4bLF7ZFJnq7RfnRH8hPwHUkcG8K5evdHFqyT9SFWXuvE
pBgT/mPl3anygmy0RaCaBAz4Hgf64m3KvYL4nptMgX2P2JFhf7l6gBL7A1hu+wQK7IHWYs95aIiG
t3xpmN2mDcG0hcY1BpM12o/16IkmwDyS+B9A+Ncqbj3yZpPFHz/Wxj3bZt66awY2xUDdjy3QU3nX
huXYwhVqR2zEMIN1+0cM9XJdhn0MP3f8PP1+n077kX0pu/WMT4/465fyP7f9ZZNNO8CyS9iJYBaF
afmcfBjbYyiWp7ArymZiFOROVmg/etvie/Db+hVsANsWODJ0P8Pgrw9ieCFRCMUfxHytYGBT3CWA
zbLNEb5vUGk/wuMbbAG6fyfbWOTIUL5cZw/5/WG2L25CI7CwjD0Tk2NDjAlkjJlNyKa876UJfpNS
+5HevcUErHeFjg7t6h42XLr/+E5VdkJMW9g/CzZ3TDaEUhxiZMT2Zh4u11P1eg3tLflJUG9JHBvO
OUzqfx5mqAGxhCmAhLSfPKedZLF5Qi3wvmDHxGhGT1XoFXy3xKfAuyVwdOhmel2t+38eYGLDLjbY
x0bMZzZrh/FAJza1gcsab1SESujJOr2G8egOk2AeyRwZ0ler4hCRL/AZAjINkEp44ix3UIbdqEBr
mVDctz2Np+qzH+Et6Qnobn3/yJCFngdZqJJVfQhCiwEtaULFjv1atgFBhf2G0mIjB/ttWu1Hec89
JmC9R+rYEA9VHPZ5/c9b7U1pJkEwWX/sLt8p1sMnNowGCnTW9ny+e4NOr6A9vsMUrMcyR4b01bpZ
HaSLAMTFNmYQOT8zljt2G+Y1gm0zlhhlEadrtB/lkfwEjEcSR4bwdbWCbMQ/P5MJgVoeKKrl9iub
GqHjD6ewcdUe125N12g/wiP5CQiPJI4M4Ztkdb8+zLZk2LW4wfiZnd43h9mmlgv/LAN5SY1M12s/
ziP5CTiPJI4M57vN7uRD4AzkF8EYGjg9Jxl2GBGIpDCFutyxrZ6u0X6ER/ITEB5JHBnCN0kN/eQO
YKvFiSA2gy0SzwjvbIgxT6A0ANgSMtrHOl2j/QiP5CcgPJI4MoSh3R1sbHRW1bfVgfIVFobNqmC1
f5rknYSi4MRCsGf58TNyst+q3n7U9z/lBPD3Cx7ZGLgNoRGfCh8O45QJblJCnpvE7CaUgf2GNn1Q
mDkqFHiTUvtR373FBMR3hY4M7acGl9A98kA11hRWZigN2T/dobGIZWIT9tSMoqy3abUf7z33mAD4
HqkjRNwL18EhAIcNFAjKDWATxbhShMEOKcKhAevzUNgx7O8m6/Q63Nu3mIj2ttARgn2Wr8r6UOUl
gLaFYVF//OyJwLCAOnwh9nengK6/b1DuddzHN5mI/FjsCLGfA71yH6r7/Md821OBBZmJtzVTZrAP
0jQZ7Ix5xazjExgRQKOS0Sq+Ma4/NZoSR7wO+e5tJoK+K3iEsF/UoXp3/S1UxSGsPIWcFraBHoVR
sPnsVKNAMTd4eNAvbA/+b1Tt9RGw70YTx8A+0SMbBR9raDqVHqSVJxQVcmiWDmb9VfihYxFCHI9y
JG/RaT/uO3eYAPiOzJEhvTGql9D2/RAz/bE1DWPAuzxZ+h1iBtLbmENtmgU24CW5+ial9mO9e4sJ
YO8KHRvacqUO0XsKduhA611w0clru6/wCfjvJgfLP4J6skav4LwtPwXkbYljQ/iR5HKTwzBwQLDA
9hvYPPnsu40DNQjJwa9DkPkcUa0wszbjbqpar2C95yZTAN8jdpyoV/UwxS9+o8MO+3OYhSzzR7Hh
DujQJxJ6gJqQDR3N7acXP1GrX2L+8h7TIX8pdWyI58nqYB1fISu6qT18/Oy454C2JaBh5A7rNlmj
V5Delp+C8rbE0SGc5elhqg4tImwoPHyttvSRh7Mt2HE3ms/QY3iaRq8hvCU/CeEtiSND+ONarqa9
z7dZbPDGoMeMDZtpX0mUbU45gTQZNOV+ot5G7vd0vfbjPJKfgPNI4thwhu15cBLZP780b3qKQbMS
YFGfE557IqxN+TAkRMcQT1fpFYxHN5gC8kjk2FCuwbs9RNoTGtIQczNTX2FMHrfpbdxuusOYTNXo
FYy3n2gKxNsS/y8Qfv0Iup9H/HkrvZo9Hg744hS6X199fEFwtuFI9Jm12E+LPzEay4ff30N5P6EA
4QuqfHOjLc5j0xjqx3K7LbOGmP3393DKIIVycugrx2BlBu/Mgsnerp8vQZtQGB3QOwE2cyJTwMKd
QftZCWcXAgkDRYwYdpMQ2ODHLbik8vrxEt10JITOwRawMBRR2Ery4zFv8qQP8uznO3n++V1Wpzd5
mGkFz2Sb798VT9/b6AtFzdDtjmx0gF2lhFAC+hX3q9tNVyT4+v8hMilQ0DB9lca2nOd5Enpdnlp8
+NDjZmgKJxTSH+yZJRtTZrO4idsZRRqjWU5wn7Wu1YckOS95WPbXUQuNrKnD65ZW1EGdXdZOShNJ
FohlaYIcy0pC9UEaftRgz/BFnv01VHZt3bC6FlXmMbNorPOO0lZ1LjLKSK3YoKthcLTtM2W6XVc1
QjmokdUiUoW4lKUpl0FX2U7ZttanMi/cmIeJU9Z5TB0rjlIPlW1zDsXl/RzzMLtiSVzfIjtuv5kZ
pcWyiWTwrbGqbp4oM70I7TifJVbuX0UGteaNEclT20Jp7PCW9B9gb7y/VHXeXsYZa69Q1Giv8ovv
ecuVdDqMqxUPQ+Um2sK1K32Kl5JG+iNuy9SFN0jv+ZCIRSOT9iLQgePnQ7hIDIvc8sFMZh0JSiep
zc7yOFKdQ7U2llBb0V9VZhXN4zpSc6tAReEolaLWIYh8A5j0aembQ+SgQiBPCIn/IkMx3MhhiDIn
xjX+FluKntelCpZ9HKk/CVXEQ1CCd5MVIvAGntbXdR3fwyvNlqWw0R1SoZm4ERw2cGm1oXAoy+VV
n8aBF/Q0vKKhUgshkmoWDYJfDWVIT9Myi1zRp5UrSdDfW3aXXNDWV5/rNK/nSkSZq4wQXxKCksGx
pYrnvfALGCil/QHFuTEPS6puSEgKT9dmfg51BM25UvGZ36fDrOcGn5e07763lkxOeZEGZ10eWqBb
xIzL0LfNsxS2jcA5mX2SOFrX9kXZ82xRBDVaWC2Moo5WunMGLPyzpDLsz7UwvuSmxBfY4MU1qO/P
jTi1LlWOrbmuKvO6H2R3lvA2WgZh1sxyQ0eXlir6W1nx1mtUW876sO5mQTP4c1UqFXgvz+XcmrP3
edFXYSCfT179+eN/PuYp/Pt4UOffv9wc3Pr3T4t1vjn0To2/tLGsP7/192GfG0v28+TPkX18Ov31
h1V5y8U3WVYTTNHPJOSOZX06kWvXtm6kftpW6LtrwVkYcE4R1PXjTYehH7Z1036EwSkocIgNuNPg
Uv9tWzlUHsIHapIorL82AwP/w7bCqUcYuohBNQM0TwBXG73JtlLgWLZsK2wqwdBdktiwylsYbXb9
vbStQcXaKCI8uTZQ+RUOpm2doU6+oZ4uE5RmTmQPrqrqGaOpYzZsPpDgQvTlVctTsAttWi7TsEyd
OjDcitV4HlBzbubkrg0bPOMsr90m6C9M7Xu2kYOhRvpzyHHhJii5kLRM3MaoTpNYrVK7C5waWQ8+
BstUGGngBrQ773jzENeodHls9h6sDjO7b8Bs99kwM2sj8aqUdh7mtXZZLWqw9Kbt6jzr51ne3+Ce
Ug8HyXndUeL0gf6TdLrzVNY/5KZ9BtuZC6/sssIJGhU7aUAcKofayZi4GQT60vhD4EQ8jB0pjdZJ
GNjCyI5CdwgK7KRp4DvMX5JAz3uW+05ZqtDBbfd5kMGlZtl54RfnEp7JyfuwclKMb9sw9pogSGdx
hi99hD/6faLnDaTMHGj72jhaNdopYoPDKkROU9KHrs+LL5xWhgsGNqgDlzZlGNxpHBV/mWX7uR+s
9lxzdV0QrRYJahMnKqu/uqBZhlm8SIvWdqya5o7V9rlTEx870ueXMsCfSamIU4fttQH7QWdxXA8e
pkMwG0TInaASxsLI61tiyAea+PmijQMX1XF8ntsr3a0K0YOVt1eqJ/mirswFHDYTzKqiTfPPAsns
LjGTIl6HwfDQdvJ2IKaesbrImRNXkvNVhaIrH8b30tSZedppnF/jyhfXVuqrMzC5riXqWdYy+xTO
G44cU5qhKy3RX5FoYKET5mm7SCj70matx8JUXpIuX5dDg0/NPBClU9lcDs7/j3bupcGikEH7lYl7
2e/mb7fzSeqniYM205veWiYcDEDhFFu44U8TZ0ElHRTZwG5FDv16Num4Z/fRArYPbc5/Mp+M36ad
6Q8Th6H7C9wQqjk45H3gdL43mTj4G9sWDjwBMGxgRaEhCRQFQQLhpYXTA8mLsq67q6wlYta0viyc
nEQsdmPWNh9sg/ZnUddk8cw0Y/1V51bzCTyRrnSUyMovL97e80K55cxufNWXviyFMzPgcCQ4U9La
nBe7CZ9famNlfRELWTdXuMzQVRAPme/ULLel2zU6F07TWvVX1hRG6FQp16VbRlUMpnZQzHJh40n2
ILQ2r+EesvZwkqBPAzU4WvQ29deoN1A3/7XGGPz4HY1hzzg0yROUQS/xjXf+wvu2QiYB215fkY4G
gWd3Q/KpASKXzDXrc+o0fYciL2Q+dwZm96HTxyZZpE3VI69qcv0gO6WQGxoF9RQc7w5WLpVm47CK
xsEsyCN5E9fiLFVCKnCuTfFZyfI8TlrazUJl2JdhJZt08eun2oUBtuCYsPDBaRZQAfj40C8eivVG
0BpFoq4y7YvPecARBkccw9Aosrq7abtK3BU+Sv789Z/djLWX6EN7DDgkhxFYcKH3ER5HMtTsAqtQ
QXaV8QFdoVjWV5mq3JD78vOv/9J4Xd/8JQFFrAx6F8I6xkfjrMisfigrmV/xwrRWZZtXycLXvMdO
XMiZWdbJ4BKz57kbEdqm/23QjEM2eEq86WNswenl0IJ+/OchCRDKIEvDK1bGdJVGNV3FyUYHOqRq
Zld57vQmQL9ok7LFThnnbK0ToZat6K2LziaV6ZI2ymM3gqjsE6kKTDzJ+35dGE3hmcaQMpeK3KpO
KbFhzf7129ucuz0CClp6gtmAgn84tBmaMW8PetOuKQRevnGJaj9dhZVWgYOMWGeWQ/o+C85aGcbf
Ai6Ki24o5dzOrS50MWrYd82GIXd7GTDXyqNmHVaEPTS0kOzs10paO84bHG1KYBBtODoodqAMnMuX
U9OueGhWUpPLyCoLX3BPCzkswMUhYq6bunarrjQ/NGlPa3BhJHMrlC0UropFYhXYjZMyvS0SmnYO
S9rgSxul+bJXGlwQWhafbBVzzy8z363zKIIlV5OodfxIZVdtYajr0hjILAiQiBxj8LPUxY1MT6mt
k1scBTdBn5EO4kRWXmm//KhxahDPbjC8yLDHYBusGqIds+XRRSIp/+qbtXUmwU+9GIKuEW5rSiuF
89v6cGnwqk+dtueDh1pqeEPU3Req1He1aTDptKlmc1+V9dLyMf5YStTGC58ZKHQGGfvfgFyoGifM
SuOvOmWpVxQKL+M8K5aoFMlD2BQ2zHuSxneh8DvmNKUVnFV+Vbs9vIcFsrC4Ltu0m1ltVc4R6lAz
A9cDBW7TBrx0Gyz9WapI5dWFuJa+EZgeQrk+haUGt25mRrbDNUv+7FJTnuNKFHeUaLqoRWTgubLT
YcXtvJops4uGeRPzYG50nbnCKmm/q6AoqDtgbYJjGuAmmHc6ymFytO2sD5qaz6vcl16iSXqawVcd
WICqHF502jAnUlFkuMxvmcNy2g2OpRPfJdrI0kVlx7PAqnvzQ0uQ5YWqMsF3hJGk50S3Qi06wroL
Ox6GxP9Qt6VOU6cPkz6rHqQvMR6+qtboWCodUYEpz+9xn0aaVHBaZl0X5pWOdRp3ZyIsh0Ujau0v
0yoMCyfCSX5nMoMso56Q2q0BA9/pS1NA1CtTzr3M92E91EkMgStwIIHpVolG/jXwKDbLT+OetdLr
u0ToC1tpAiOq9XOkWreGtXBuGzLyrxuYOnbglrzgMOBIrNJ5loSVcJISFi9/1jWh7QK7gwR1et/M
LDhczU9TV4q69edtwpJ0pnzwCuY0C9LB5QMFi5nh2KrdVFZG4jSqD9SNCo00neVByL8bdcNC0zNz
rBehxWt+RQ0/8M8ywjSjkZt1qhz6UwWb+Cs5KwLJ0pmvmqGci0pl4bxP7LQ/NYE0KVyK+yR0WUf7
ZFGFZWi4ACv+YhTpgDzYyBKnHvxnGtdJZBoKXnmWfYnSVKRLUgmdzGKp7duh1oTMIyPH6Fy2UrHM
YRJLvfCrpsjuYDEmZ1Ew4HheF6DBLNdJMMw46gbh8qgv2suU9zC0DZgqlecjVJ9VhNLEC3wS1B7L
GoAzZAr8k2yIyLBOYsgPehwUSD3Sp7JcIjO0ToOQxbaL47gkXpiHvjfUPhBfRlsV4iby28hySVhG
g5MW0WCcm35izVHhBxTUhRBthno55EsZojaYxcKSrbP5noNEKDIYPgEp3a4NDSDgutD4qwI+tDec
EOYRvkJDFg6hwxvLIB/7pMX1lQ2RS+5lotSXtM5gSQoUi0FApBCRz/1QouzrgJJMnpV9mnRz1dIh
PEc60B+tCNMV7fzUdziCwTuvs46RmbKHEJSvERB5CSlj5fLWn4UoLL8mbQueRRREzZ2idvutqCQ5
bVgb+DMeUxM7GffhPjTJo26eVQ26GrqCWB+Upugj0gZ8o7UNxV2NetbNGpxG4WkFFF67zFig8HVo
MPE5M8vN4IyiUi1YoqS66XpLcxcCRMBGthkoliswuuewgonPQPbC6AZqLq6AwRNdvtRK+PgmqiC8
u8U8E9ays6K2vtSd3jifsu9uaGzY3SxvU/jTeT4MDRCJqR4WZsw2D79RvQX7BHoVKbqyaAZPUZcU
XpWM83hwRdzA1CmSIA4/ZBWDKV/V4BUEcA1sKtaZvC6R1VeZQwppAtxt1dWXqSEL5YRmXXbzDnoa
kVnflEBaws+qdOGJwIB0Am38ZJ2ln3047uqMNyEEsFzSGMZFH9irNiOgRldF/S3RnanOA3Bzo/O8
yOLojsNqsVCZia5KEZRfYWOQXTrSkiE+y3kg6nNf5kHj9RUrgRthPVkUGF6ra7Kyv4+TmN50tTLz
09Lsm/hLa6eBOk19I/3eD2JjQ8IykR7EAZzMQtxLNS/sVHwxTD+dp20BTCqzNvxc1crbMNfqXKRx
RD2KKxyA2YMD25xGYvG5iowmmCU4g2kyGD4RSyvLUblOwSD3Z3C8E8yNdmOxZxE14I12wLjOYJFp
y3NU1dh2fZHoBlZa0pjgepfRX5VoxEejBzf9bBC6Qg8aeBHlpAgx4A5aDLfqUiQH12oDO1gWAEvr
GrGw50PeNPqy61lyFzWqdDhTp1baNfR0aG0AJzaRGhZFEuf5ZWZ31oWhTSufyTJLm/OgbwvpcqpS
+RE8EfVgigzMCJhO1TixVK1yRNvwElaBvrxLghKFf6J8ILxxBvDA+k+FJoaAmym/mklmxMGZ4Rft
NxmYRuMmTNnxMhQm+tApwx8WFfDJ4SwcahikIdYRueniZKBXqV0A/1oWjWlfWkhanduDd6NmrSwA
tZZnYeBUA0vBdiiVzFBHusprEsyrxcCBZnBiqwuY1/u9qVy/UHb5paU9+hjJCsYarHTiM4z1VN1k
IkNgYHEhojlPpd06Xf0VCKuWIyeOG/aJ4qxsvZYG2rq0/IQ3t6WvRAWLO4zoWRESQBMCh767CImO
8wtWFZLc4M5M7KXf5QKeq+uM4DKujKL1UuWDzQBvrNaXSeKD/pWIg7mSPJZe25nmsi8tmPe9bQOL
YvmSXT56pc/Zr5unaOYpf/OSs31J4U7hgi/D+ypX+Xc9JoO3bvS/xhhvmnq8cOL3MMbAfz+sXjIw
mxTek9gPPmWz/XDTaJHDks7hvEWITX7yKVDtyoAaAaITqGSE4dLf6TgB5VOwTdUC0gyoGLj0g0+B
TB0cHmQySuFIZqjPsN7Gp+zEznAMLLSpAZsCLgcceDEKLTNE/LS1ZX2dw7p+xhNhXVZZd86zpHRp
XX2209QrIx2fZjlLhrXMVWl8qPsefLwhdMG9SD4IWWSOjvsPOrDOcpXm8zIB8hQNPfACMTIWYdJY
jlXIeRA3cgnOp+kGhW85YB4C6YqmzOYpK5L6rg+Kr0ICtWlAQtJh4AFEboGVddZ0xnBGi6yTvtvz
Pjyrk9jrsW+caqP6HohsAErC9Bc9yiE4QrFYJnXQfC4E5+cYEmyXnGTg+4d3RU1kMeNpb84LxEOv
qQzTY43IvJwMxEuSEDvYFmAukDiPWaVnZYBcqrGe06644lQ2TkNyATTv0DmGr8GlkFl7WrXqCikl
XJ2VX6s2uOhRO5PAcmOFL00rOG8HLR0dFbUTgikEIpq7ba2AFBUYO4FvAJ9a6eC73+b2X/0QNT4k
nkrpQEwE7qpU6FRU9a2MyR2PzKxeFrY09IcQZeUpRDVuVkr7FDJVKruztSkqR9Y+axzCfGtBUNtE
DvXp99iv2+Wm6dWizuLYG9Lspo/UlW0VZ1kir0oTn3NtzHPVnhmp7eUDmJoyc8xocGlYPLQZvm14
9+0gJuZ/zXhQyLP/yniAF6/XY9PxJPTCdEC/XRvIN3PTm8SGutkXpsOEjugMetMwAowXEEY/qFio
6oLjTYBFgEJbaIJggwn7YTo2jZrpZr5TSLs/5v9/5Ny2VoJgnT///JL8JMDcbtMqdEN/2UDsQnER
7NTZ6PeSsGiKTkE4Jcm16izTHbpm2fZW6aGIECDsyznk62un0v0XhmFqqcC6rwi/0KKPPbrxmKIO
Rqeu5Lluc9PJzOzSiMzK4UNRe51qriDHrjxLVJBezetvvci+yjCYgRt/G1vRIuv1GSb4tiyKCLIk
fe0IMBUwb/FFlkJAEhjsk4pF7iYi1eDL+J+GPPpCIVBzwOPtXLtLr2lArlFrz0SZn7GkXMZ0IMuh
8Su3jjF3G9ktgNSdYV58B/N1W7cBPcsCfwFZ1W887B2hhs8dGDzIeKfYIRAUObaVZh4pfNfsIF/G
Cvm5RfVfcddYrozlKa7zzCkUgwyShOhaNzpzw4JcxWl5lsQWcdqq+l42EjmdkWt3SPh1mFaF2wbl
dUSb4qxLNTggoR94LM1j8LGqwBVm4F8pOzc9CHgHKEywhu8cN/FVY7H7IYSXW/ip/IDBvXGkqtYS
TMRllCdLKgxwL3DRL2Sm+LUKu3TGWAuo1dJyKigXcOO0ayHkyaTTRMhehA1k9uwKvEOrY8EHMyBo
MRRR4JQB1ECkGQkcIDNyJ0xJMDP7JDolpEtmRhjiRSQ3NOUApJvdgVNs5jn41j7yUNdDwslS4dwy
C39utSSZVanGC52TdJaR6ALM3Pmgo+s4Q0vdB4MXpvy7PwATE7HUmhkqJF5f99EM+axfxHWQzMxI
cngRqAe7WoqFjmxI93VVvRAYXNM0qIB3hKDuFpJSfFEXVM6gyVN0apq+7zVNQhxFiPEhgQ2KTjrA
k5adbTuhbdpzHhjajfqWO30eFDMDQkXw/eLwjCrVLgIsP/ZY3dS1mc2kwXsn1wUcJqog8JE20BOl
sM4KAcm6AG3o9WHzikKc/dUqGn3KIC52lBTZaV9DLgF3Qe4kfoauKZcQ+xWDD/4hg3dcGfUpb8Hp
k63VQvRehw9xGjKw1cyfNUFqnJo6mtc0mfl+JoBUA1IsFVnlAJOSOtyKaseA4hmvKtLEtZvI/jCg
7kPU1bd2m8YzhSMUuglOroBZ06cQfH3X2fBNQxnMXBeodhIoxLgMwZF2SWd7SVXaS7tv/QvbYM2C
+5l1i436cyhybXimrjt/IXGHkBPWxX0LWrHBiCEUjRJHcVkujLD/iIwWzTsZ2K7ZiLMsxfasbXvk
iKaG1Vz1TgFcLBBJwSzMMuPs/7J3Zjua4tgWfiJaDMaYW4Z/jnmOGysiBwwGDBgM+OnPorKrTtbU
Ut2XWip1KevPGADvvdf61sYh7qEMgiejqzFFH/HY9NUpqtrbOdKp40RXOnznkX+eFDWvq6y/zXS8
LMRxkhZuZcbmab5MUFEOcTxWSTnAGC6ke/Hx1UQnzsaQ7z1Eh9Sz9ZU7u15i4ujZMmjGZWUZzN3m
q44gJENnOqpqvYM3d5nCEiKnMEHWNkztZelhsDYizJZVLYkpowg+UHNsNUzzSAfhbl1xCb2+uZmc
4qFe+LurpreO4HhgAJOySA7ncvY+FklprmUAjVKrYueBLvHKAEI7GXJTaT+JrNcktTZXms0vE1ZL
ZpFDbuMlYolqovbIwhD/5ehWySRrk3ajOk+Ve8B80qaG8F3lqv6mjMc1qaBBJc4SZ+MyfNOcyiQ0
ZQaJkL6hfWjCXLXLVeuPXxSJju0UvmIsCY9l4yXVYD8hpkIyVMsBP3S9Ez5kzsazWU2ja1HhlImV
k/jDnMrYUYlR3sHp6WGd+6zySwjP5XwHtuxS+zpIeVl/jiw+RG1w7RXd3iH9voBUiGuaLrWHfw8/
BMinVJfTd11Gt/Aextyo9Tg2RORTVKcOkXeQdxzUgimtg/UsxvquiZ3MK8VjDb9K0PYQTXWbTU35
WJdjitl6SFquo6RZ7YFDvi7rlLngonTsp2jjv/GpXRPUMWfda+Zrdls2sk4L2t675TDk//ZGmJDQ
5qCX+B8oToO3pA9/0RzhU781R7/wNthe/l8u8efmCHs10ZFQ0DB/GKvAPwKPBSa7sc5oXn6yqbFk
2cOaCVhsP/qm6J+MVbjwf+qNoLW5aJC2Lg1ve/1Db6S60Mpw5frGrYNHqfSDDxquIfpOLmhXZkPE
qXBxLHvkUK1rlTVS8h03dE7HZeKJ23fQklac7FA/712Cg090kZfMZKSJtt7d6PbwOGP8XS0wubyu
Ou8YF4OfdKJ+GKK2SmyrWOKp5crpXYXKXKGJsMZJnSXkGTTsKq+N76A/m/trt20eI4xcV5Gx7aXy
/TFR1O8xl4AC8etoTzRGImbUnFKBQmSH9lG0DPOS03SJO+hj34U7zsYCpxQk0og032CkPcOEcJLa
Dw8qcB4cK72E9/rKbnqjDYtPQAZV0ofTmg5qztvhWHkXrwi+GvExBOkYFwel0OjMZoKpaKcKvxFZ
Z229yMy3usu7tfqYLUikZRy+TuN88sZuTmIXP9BgAE0O7HZ1oi5Z29yxl2n0Tgth72FFj8qtSBKv
OCfjKLwMxYDHeFkSYhhwgsW7kXSok8Kdco+5uCRBpJOxKPQxGoibwFq494uZ3MWO+LL47Z1uGZTF
OqjT0hPezu+Vn+jIeLuAgrbquBrzWg5VxuXsJYPLLn4pjutUkiQcRFax9n6RGlSMnby8D+CFMo0B
m8YwqSiUybzoR/NQjC4ORS9+KRxVJars9r1bnbSMHklsPzynaPfNKpMRZE5lRJwpX8ikgzmRdKQ7
zK7xUzr2J7z2UuP69fs4aKpUcq91bzsytg+M9/jCgwaxpG4sGb6UalZH3zi3uME/YlWqZEAfeBLS
ex16czWg18wcdBJZOQfflnn6ZqJ13elx6ZJeM36A3/HZ4BFFu+2LVGIK35Xz9BD6hT43zD2Zqnrr
bHy2vYf5Uom9mh3gkytIU5e5u7HgXqIkn5NB6+uxsnh8zKMo+GcvInZoAzhMldM8cBtsGOz00gfR
UfZjcWChOmHKrUFq0WbHdHukRfg0CFec0G7TRFb2AX/nfOlNaCA4K5WPBR3SX8wFM8Al8uLt4i3B
mrqU08zj5EWrakiNnSZwsG170v60pIuDgi7WEgCtrtGsL1q9Fi4vDq0Qw21FQzReQZ8t7ert2NQ8
Mx/EbDEK6LkV2jxflbhAXZvzupqgLcsST/voH3WpRKIqKrLBn46uZe6xZ+IYebzeU3wvSU+DNQGu
PSYMmiT6H5uovj2QsT9UDs0qZUd4fyO0k9rx8KSRMYX3sCQrEVEWFzobiQf3CP8HRfS2KuJEafPk
LdU5HKaTCtbrmAwPJjJTYnWzBz0tk7bhNmmld22W6alUYZvUq7htyHQni/mZyeVKN/ZVc0jcEuxL
0qjqGf7wiSzuYdX6cWTUBSPdugn6/iCJ6+UidZ9H7qB2zco02oLlig/BnWxXUMmzl0d+d/KnqU1W
PX0nIX8vC+8GJvw1mIHbvoqAERr9yXm4oKmxr7VAT016xnIYJO+6iTDZrByai989KgHG2+lUbmrc
NYBEVvkcTFV4KAltgz1yjH4uFOzNsFT/0rQ/cgob/Pr3JRyo2QdW/H3ov6ji+ODPVXxLn1EKSRP/
QIH/TeLAPs44RKHG60tQsDeW9Vd1lP0nRIggdoFzgEb5HVCLhcubGoHFQYA9Nun0H5Xx4I/gzbZe
aFvfTCHHYsNvtEkgP5FFbcEwCxqmbly3Lg4dRn9RgOccgvk8RWaFhOfryzL5ah+4FjfSMt22FcGU
2zafA/FVph19wIMS5nEwrGkx0yCpiOhTzNcWx9fsZ2JkThL11GbOvDS3fRG/iNDirBmCIF1ce4an
eBlCcmAqxtTsiH2/di+cFSq1PbuywwrpUElzmOrxVDRVDzMjPFlWNklBoivqk6cihOw4luwuniOZ
tUOJ9mH4wIthWlg3xbNpwi6ZgfjA1I5MKo29om30snB4n14QvMa1eqGLOcfSu8xR/eiEzdXI5i6F
zfXUDhzzggdcgc/nyJL7tq12XuG8+eWSFn2xQ6cSgTruLl2kXn1GrwPRVIkIl71ZcIrgpvgYazz/
7VKLxInGvKRWgNCv6ywYFgo/v19zxtopN8asIFaam2Fe4LUWwUEJv0xQeq7nGmdVYWdvH8pxV9Ee
FdVUaSi9NnV8extw+sUfu0c5rTt4NU0SFO3tQuhuFc2xhPWZIOxxS6foSfS8yDuyvtISGnY5h12G
Fk+mdVuqXVCuOmv9CKqVvRuWNtp5oj4tXv1N2AbW2eg/UTF4sPp8nlIV31Qm8q9rHh0WVjz010Qc
KdoYYDJnulZViojMrowMeN4ettZoq3wMRgObi70KCsFi6ls/qVW5B72NWEWjvsiIqqwawdD6vber
GUwrF5rYuB7KFSpv01SfwxB8wx7cbxDVikPRk+vN8FtMXwDSMk1erTV5DkIJtmFlaNV4maq2PzUh
PdahBxdd7AZWoAYCsMjXZfFTv6Drnv1C+7bhNOazce7Kbv4aWzkPaehCpHfRUNieaGj2/Yk4vZ/2
aDpiuhUyn6NJZRHLEFg6+FufooblA9b/Y+kqBBqa3N0MAdy6uI/iFxWYIBVbxwP1ps/LuFhyGU0w
HGBvYRpHjzTW6HuDsL6PDRBGnwcJALVjG9MLN9pLmq3XqosKz0VUTzlDb7wLtp4Mr8Ryd87Wp7nw
EM8rWjeOFi7YerkRTR3bursNVzt2Gj+LGGd4pBalmaCZKFx7oxSelGrrFOEi3HK0jqJx3azbukmK
trJu6fuINlOru5KQLhnQgTLW8ONC1fXC6zkx6FJjX30lukabhP61IU2XR1LLzFkcmXVbmzuHW3Pf
h0UmrLNHF1LZd3/ri4dLVR01euVS9Wvac9wGpuEf69ZQ+2t/xbcWu0WvvXTk0HrCgdwknp1CfpMT
Hhm/Vbi30anrGKj/1rrHINJghNaPAMO+x1t/Xyy474Kt5VdtkRPwcInToZ8wRd9eHH8JrzwMC07Z
9NeLAWgBFKrKo9jybNmmi4lzlRYDJg4xmyszSIZOGNNIHZcPYsDdHJLCOw51JXLCccWBXwBiXO2d
4h2FZRSgL2qMTTuMPUE/TBDp8GAJ2/PE2aYj+BZ8Z9axylQ/koPA9dpmKQlaCTx8f9eQ4Fxj3HK5
+8i3au755sS3+h5Yu5SJVsNQ3XSLN7zKONRzTnVLq1RP1XmaDIyO0QSNj0aVt7C9Sv3G4kKQy79j
/Y+xHrjx/+gJsC1Mf/xFQ4BP/dYQ4OUoWOToge0GVkq2gvxbQ4CFA1gowRBFDAmyij81BDHe/A1k
HeHWOGTb1sD/9zwQvkEeBj4rKIFt5o//SUPgb1md36Gk8DxcD+8YjrCbDG0h2/78p4ZgmXkBdIaT
G2m7aD1aqhrk4UQw8htgGUHTwMNw/APjm/w0iYeVFCSRcNhQNiY38TgtE1CyMp/ikWQ6bNyDO0vI
kUsA08GoD2+1RQod8cP2esmaABj1oOm5bgpQMby6rXqwCAUf867RJDEMPARbLaTQGGYJwjUcyKA0
yew0JhfDWGeCjucJmbvEi8oX49G7Mmj3tEZmTi1Za+y+7JETMm7jYjBSdxbdvKLqiAMwTMpaAfUa
HVgMIDQgktqPuBruKO3dwwSBFm28f+u7Y301Eat2gKDazOe1An/Yfw948TFVyPI0TpSP6zcU7TAD
g5kbJyiyummvFp+8dG2BgQ/dxIFoUKforJCn7DyRBAqNlmXxkHpmOQe2rHJ/sN8mxneTMmcvnvde
BPe1U3sd6HwAJgnR2kAg7mQ6mODbCMVOzphaYjeBAXVpoejZEPDkVHAYpNGYGqh+bJP/6ro7IGiY
L6p6rKEPjmN71w3uWUA3BHUBdids7gwu6bRJi+5SDu1+dDy2Y7Q7eWHz2WqB4T/iF0jXF5B0bUog
29MTmtXhzltga7xXQ134uQ5U0d45dly7feNBSixc6b7C8I1VQo384ocBNPBhBt4yfYm12EV+XKQz
wx+X0/wNJVGnlV7ipDHLYVzFNWk5y9E5rrt+FN9nB/plxdY3pHAfR7vcecZ7B299cpV9K00VpxQ5
zDwqyNfSX06zW6zvtehlUo4dCOcADaEBXRu6mCTD4Q6Y0SEamHMB9/u4lvix4NJDFirYDV807H9h
MZmF2SRG6MSSxvlIV/dgo+9epQigufHZjCCmmo74WQ2CTxZxsA+dEkAu0ObOCxH5MkPqKPGlkL1N
62m1O2QfOxgsxd539Fs5q4PCY5O2rF0SEIywAbTFwI6gFzK1x2UmHLKFc7ty53UY3RPtAg9ycvUU
clGAf/QjCDYYlwFUg/c51JGMIISoU4vTPxGgM6eehYmg8rsW403XkA+j4WPUGNXlWl1DwDh3AVx/
tHPnFihp4geBSSvMuYMoRVKNZt73CzChUaB4+TEW8kj2ZiOVN3V4dHXxFsige7AORXsrGCBqP3yK
HPGwQH1z4/m1F6Q8diI+2qU/84J1Z670K4VlgvDBg0PpUQTsxokRY3bpt47Y66YZDgivTqmlq806
r50ykNj3xsByALxWTOV+qEScyyVuEzw99F0bfRR+Nd1zZgTg6XoHW+9MRy3/Vax/jLs+wJm/L20/
3p/059K2feq30gbFetOjMUluFWnz7H8rbd72jmXwzggCIiq1Oem/zrpInML5R37BR/xj+/j/l7YY
f1+IewAQC/gdMEL/xM3/Ja3yc5oFlY1EbogXYGDcpfgufl/Z+AQbOuTlelO2t8GK0xF2MfC2MX5a
rD8n7go9OPbbC9Lk92wlnyvEpTRyLERpAbt0LTVQxDGGIhnfAGhQUMfoZyzkVT3Fz9b2T8Hcfp+m
Ytc78CLLOHqrO3SgTFN4bDPQU7+5qDmYU8NNnEgbXM9uL9KaupvgJZ9pQe0uULRBEe1TH2UGo0X4
KuvouVjtp8NZm3IZH+Z+epLleDvE5BpRHG/vxuwB7PqTUktxzc14UrOBJuzos8cqAKetwcOg8DNb
SLEw1dh0nJjYgazgSRW2u1Y4L1NXpvEYJqEfX9cg+i2Q0qyN4LXyVnu5hVBflf2uZzXLQKUmHvG+
qri8gRpOkwKbCvD8N1lpeJB6ncbgjsE2rIIyRVoTgdXWqfLYCd8aK/2czjzKF2ThT5Eq46yfPeh0
OA2WSG22pclqpEcyJGuwHwC8YOBND3SFtmWH8BnCbC/TohzIQxxNxRgnSIvC2Vyo1vbJm2dbpYYB
LMpCUFibbzCa4RpcbYW6IYqaZFgP0CS9KS+Mmlzqde/WC+gJQ3MkQmGhF8V+cYlJI8v7hIfeE4k6
kzYR+dZV4VXtaqTeRvtuiRQJ1bhxBJ+eALS/l/W3gYenntQKQ4CG/j2dlyGqUlq1B+W7Ti4kAg/g
Va9iVzWpXIOzEO7LSuip6VDTm3D96L2wfyKNvi8acu/BXZ27+Tj5y36pKn4oQ4yCTskPKMeYQvrg
vE4YiGKni46rsyKR0LBnxwwsob2zm2N/75YGAwqkbcbno41DCXUScwgp2iw2sPkNEiNlCWTEjext
6/NdMGF6wkoBjHbTs63rlzr0vwMdayBM9K8uU5eWy6c1Em9FM9wuQpbpMrKDbKGNDi1i10oc+FJF
aU2ANizjqUFpTf3KvhqYr63Xf4xriYC2f46rEj5l90bLecx4MNcgcVsozUP9OJHhSejQJN2EMdWN
5FkuaAit1yVj9NYDhgfAQa+GLrq3guzdgL8gTLjs3XVNm2l6D1lxj9zGLvLam4CEN0vnxnjGrH+p
GHSUnrYXKxFqDIqdbL9KiUi4Gatcz3yvytlF10e8TIXrbUnDjGHUAuQ7wXqI9KudsEeDU/8DZEcL
bUCOqQt+z0PvkxizPlILbXhRKKPBED22bXFmvftmmbiCMnsX+M7ec2WbxH38laM3bmKG2yjqj2Zq
cAPyx7qyS84r/1tYoacujfeI2/g1GlGJPa6ux5Le6TiANLFiT4Qz3yo+IwuuPZLywo8ywdswqamI
MbcOHlqWpb5dZXwvJc4VsXb9kRvh5g3ovV1L48+Fj4i69bfcG9AJRnDO9OzytFn7OB+q8NwxTW6B
M++dVQmoCaavHrrW+8LXAFSftGCO1CWwxafXemAWpxXES+zko/SvxVhUie7AkK81a3exxPZdEA4w
roXMBtmBphn7OOnGGL+BOIKiH9ZDyslwsV50xj6UUzl5RyHG+6EwBppScKSWXC+Tc1YNfspS9lk3
YkAOrUOyFWHPSjRTyiLyr8L9X4Ub1O3fl3yoYuMv7y/Cqtw/F34Xn/2t8HuIQON1Q1CyPbxlbItP
/lb4/f+A8A1/NZ03WO/Xws/+423YXxxipQNS1z/PtNiN74HYALf7w8f+ZzPtxiX+YabdIqUQt5H8
xf82Ef7nmTZuIhu3sMJualMi/JYOvXJP9eKRUwtkrkor2jytFR7gaHEurIViVIUNjt6KZqJ1MNSO
1eNSjGfJlgfjLpeVw9btBEXxmRkCDqVFbmx8npv1OmqCY1hSCExcodJi0cGyoGOfaLpg+0RpoZA1
IKUwZcdQZONlDxH8e8CKMZ1/IVFLuaaA6P18kE6P6ZDspqpiGLYAmmBaelspHB9dkzUHy9Jk7tA9
EgrPjkyODzW4SIPOuuk6jzjie5MOLX+pscBm9Ck8aK2zsJw/KY6yivdNFnrRF/hMZWpo+Ur7ReMk
osdgYRgZgFohifVKC7JnUWdTPgc7gTEkCXRz8KkJM6PYQS+gp1diBgSYls9V8c9mXG5QA3ocPeNb
6cZl2hC5l3I5AvBqd94yD9lgAMewovtauATokNe+diqE4LlxRXwav1Hu22st14+yC/kZWgGioKGP
86ugudMy794HX5hhoZBIyy1yojAv7udZnlE8DQQtOAtgdIZxh0BraklUQoqL1K5eAzetkSvMGepu
UsQWKyb8Vl+tLlsyiTltx2A7Z7x21nQEegpjVgqgfQg7rm7J89bV5Rmabr1n8Tw++KGxz0AORKZc
BISkrt0rGLJYOzJL+aYGmIMAougrFODmXg9efyuoXx6ZNyyXPubQJddanRDgGcCqEVJd+Nx2W35t
uUyDrX1Uc5d/Lqx0GAIXTn9sffdOqtjLhZi7JxQ7YvYcqf13p4qL74RBC2422noe1ymXALDXBj2t
rmCOmI3O1gOSYcC1R3SCC/DtHhi3Bs6NEF+cOv10PWykN9+Y78g1cB03DjzaiHACNJxsjHjfuMg4
b9Q48HEEH4tEbkR5u7HldKPM0RehdG7kebQx6OoXHN0vH6IffDpIdbUx60AYzXOM+OSRQlRLxMa2
OwyUuwbuvmzcO9J12bKR8P9Kk79IkwSEzt8f5j8WT//3nXR/Ps23D/96mmOP3kYXQZwkcbSNZD+d
5ngnRYQQBfIaeCENevz/P83D/+DoD3HOAueOfmxl+5XKDhAQ8anLggBlwMdf+0/mOEinvz/LUS9c
LGojkR8gchLgu/v5LA8EKEqcfORaNO9WXy/L20+/ltsf8+DP1Dfx/kQ2be+iD6BDYSkA/Nk/WqIT
12SE5z5dI5+b+373fe0ILK7qHpuuvqOpyoZqKDPo8CDBnfaIfUUHBNTQ1mCFGHWoAuYR7NtoODja
fazgNmG51VenRrzb3wDKYUn1KBHOE/UNxKtQXgIz9sEN0lcK42hpoJj5QRqKvlkxDq4W1cINj4vQ
/Psculj1hVhWto5lBL+prL/2/nb2IAKaE+3DuXUL57UCtpTFknyZxNLsRi8qUowryNbFIJcLj91E
XeTkNRte46EIcmwW2CAaMt9W4BKAeatx5w1BlSDfeDZD+S59/4Iyjj1ozXqZC9Mf6lYd2na02NTW
w4eo99Avr3DCB4m17bvjzhh0yPK9kc7NCAAFnoe1u4mwrOjGh6hqEsftjkEfv0vXQRB8Oo2dq5DH
We8WyU7ogVu4nUPmjfLUR9EH98yM9rs6FBAvJ1l+jGCUYLwgdROyA6ywGwdbDEIs1xHcf0PE9xRP
EbanhRfS9tDgfHNVBzajTYCdP/2Brj2qBomfq9ICnZf17cDBmmsLVL9037reH9PVqWD0kcex9uQm
r8oEZPcDtGWVCr2Av2Tlca37EmNuGGI4onu3LzWwMvk+kTif3SHFtdi0qNHsUPpOCzzvmJgXooJ0
FuE11fRNj/ZGluReNLxNsLthHxFzJebhqNYZO/iqF2HWAlzzfKjNfBF+/UA91SBmU7+gcD2DBn+h
fNqpAUqsDZHDH94pGeHLjfHeCfSbwg+PoPuC9t1+hZKQY3BLMaVmgVwu3VwxOLCQp8mKyQ1rmWDK
RTwpaPSOp2BXldVbwWFuLhqotTNNuG3676uqDgzDEgm6dyxSenMc90FHK1x5XmVmiVM3rD+t5HcS
YCxGjuIisRNmD8JVJsSJHgXi2n03CQzxmA/cpvmMPeT+nE6YnFkgemzR7amESZ45nWeykD5UMXmd
sIhk5yCCmUD+xtNTzQ+uV52dqWNwigHYhv0ywF8N7xcGOX9ap/psoD1vdqfO47qDgUhQw2dNrwu0
Q3kZ0meXsiKLe84+EUOHnYBGFtRuRyc83wDsNOYgB9JqVZoSYY2SXvqOgqjDryIJZAfV3EHKqKqV
yAAeDdge4bj5aDGyYk+LvFeMgmBqJuir4OKZWP1k7IfziA4JxJoGXLyQxAtgHnp+rw/YrVblRTld
KNZHJlp27d6z4Z4j357bxfeSidRdrsbN6G3K+ibCyirY9o6+gy9ZpJx3X0K7Pg88+IgkUlOBd1UJ
r0ljz3GytXYuXIJV82ovhF8TLvARVPOgwsnZNAlev0yyvZ8N2GUkdW4IMsk4WdKhIhmiNsA0u/Yc
9REORGwIQ34XHDNo7Q7wIc6oU9HzA7LkAPPAZNnxUlfOXoTiyq3dFzmYNJjc0xwD72oX+U4qHkKT
QMvLOEVU3V0Sjr09n92MHhZCGrAEggUWj9Jr5p0pg30AnQi5ip6lglmZ27IcriyT14HfHSRkY6+n
WA+JtnppQFPZOcxw5B19j095AULxWK/miTrdY+M3MDiSqc6wJE7k6JKbGGfOBJuAqveWjA7OX+d7
r4WLtAUASXw5ggQBJTcqqIG3rDIyB2y3NPuWNOseR7944T2+gj/Vj20TQNBA9TxN61Cd6qq4buOQ
IuQbsCPiNiIhKnoMe+yRSQgYGqxY0z2aZ853iB88Ur4+sja0r1hOgmTCpPQunAovieZlN2JR475z
DciCtUfgBx9MEFGZXoeyZrutS4KzUIIdh3szHojBdCznbhewBtHZRr1R0x3budwt0QqRAbDPGp1k
vz65ospNicy86sTTVPswi/r4jPCuOSqnGjLFa4wjE/aodK77BiApyIKF9K8T7bysU41FPAc3eoTQ
A6KCwau/xOMD98MFNKATp9Xkrj/kd8Ro/zqUhSnzp/LPtsgoNgSh1QC2iiznNk/+XP79pqGYlqoW
+zqqDK38MaTz3Tzo3f/uArb86V98HRJGWFMT4LH/w8g4YS0O/DLRXjd1fQUF9wmn0i1rmncclwN2
u8S4AGt9MEsHRkUetC8uwvgJ89szTqpLyHVSxfIO2uA9vMQ8EFgCEI9gevg3NVED1gOrVC27pm7x
8b+/9b/8zpGbBbRDsEzol2H4JwM3bCZVjrHE1hvsPCzWR7fCmhD1w+D/28sQ/54bw3VAMI9gJxSE
e/yOcKP//jroSXbYXIrFYFgMopFmJcdA4WBwgT/vKmPCnDvmFSur1F0b4x6M3ePM5m21YIeDKnDv
bNXsBNCTu0kE8UOLqgTP89pxvRpPyYxSDsUwCVVxXcJLW3iI37mP54Y22Bi4xqG9D736Q451CuGt
3NsZUq32aC7qUuZyDL44g488KzQtnEpArEjspaoPkNAaZIJShNZG0GNv/W8liT6WKISM7IK0iuqr
1SJXGmHl1sH15urKFV2T2GUS6JvGEvmzKoJqWTzzyWse+xkIS+wVl7DZoBPajQeKucoolDivg2eA
vW155/o3kD9a8COIlnlBfeHux4TBPoyOOBffmFM3eMq9w1qRt3pbttJ2rU06CNYBsruWoPVALFhm
UTGpbHGawzA2IWIny2lyzYeEpPFlrcO9SzHSR7W48pWtMab3uzKAWA3x+L6htL6OEePyqF3OfaR/
pOj/9nbw/vJ+wAPJNnjB9X55denPzyUPsHUFfzZeR57/EcS6yWxn6mvq9BqwtHgvNKRnqNapR5cM
24SHBCfqFX4rFiEpGR3ATF+N2IkyW/8qVOw1IK3Y6Sbsd8iZkWMTImlZlBBqDTMsdxWBCIGins1Y
W5JBlkA/goPIbRTShmH/UDSA8zyhFarBBLQdYYO263fYXYScP/3YAqSp8RR0hQZEm7+id14LGBte
RpH/htqA8NYw09eK0ePM/a80WsCazzgGYBjTdnnkcXWJYOz22B5KwxV3SJdMq/8QGnMlq/9j77x2
IzfXbfsq+wVoMIdbpkpSqZTDDSGp1cw58+n3YHu1rdbqJcHY5+YAC7ANNNwSq8iff/i+OceMroH3
XuWGtdHn7sFMUyyBRSl60JvZC9aD1/bjgDQRvrGS4B+DIupKuvAsMCacylIeJUV4kKKhdmuAgHAj
RH9YBOzYU+lJarMRxWRHRcuT4VOyGrlqisDMNNEnIgwbpQGcc0bfN+tuUBscLXNCUzU/K6P4Witk
XRq6p818zr5w0yG9KKPpzCh0fyxVNzIQu8WF4chWfJlWQroDY+VBY/H0LKDN/cM4EXIu4WUcBOsS
r/v32BBAi86io/aJDyM4dfQWiAg1LUnSYR4pm1ipeUoSJFE1XBw8HpWd9tGZIAVeKo33ZdnhYIpP
WqTaYVT6ciocclbxaETrLmWPQ9X6qPsKKCKqK0msmlkw+h3Le9HkldtDtXazVNgkyA6XJLUNC0TH
KIWj04pMuoss+Ylk2tponnA8bcOiO4RjfVaYYGK7LgNLVCHPmDNjr4bjoZITyAAlpC6liiXAXsk2
Ai4ktJwSMh0AHQCl3qAXN550DWXbyD7mmE++PvulusWVfl+JyMZy8VzXMEzhAT5LIjghQxBQzJIH
xKKaJDlGEhSbcaC9zb5hiy6+dWfd2DYDuxCjpMVmBIOHU1f6Ymn73cz97k1V1uPvu/VBjqw5saoU
shDr/tCe5wU6/4H2zniRNucSJ5bP16Nf+Qt/rhTvr/dhJZWjqOB0wcxQlm8SaLnpalWQhA+juv38
Qiu589c1mzVJhx0hU+il16utK+O7bza2Hd0J6lbHRZqRAcZT68SBfKO1IXyeUmDMofGtqhjDhiRK
5+Yqi9ATDHtLsojeyO91Wkn4Dhz0cioUEwxCf0fx76IUjeuM7RunHqdr5espRLhUdKGfd/ETauh7
AeT7Vding6fRrtjkWn/QMBmysfBmCXsNW7xNgcfmHmjldbVkLpWUfa90Owq9hyWcdxogNthHh4Zl
G0bMIZXR1/TCKqdwEJHc51XjxVmwGytciNmEOVPLnxdx1hxAeI/1ZDX38iqZwlYYfnFXf623/Pn4
3t/UDz4vlF1F3ATmdDSnp2h5mc2vsIBfPLR1uL57aKKQsUcO05lW9nWV0KVTbr8YFp9f4CPCNNfz
VEzlcD5q8ilWMWh1nhjNzucXWe/C39qCn3fJNHW2pET26h+G3mS0AMtUvgWSLKyj3ZizJ7nFyfzF
01izX99dSFvlC0BT4B9Q/GJrKn240JzExRguFUIjW3plUXNvMj9wBQ9goHNvF/b9TneGs5cr6MN3
k/ecefMLb3S7VXaff2F5rbN9/MbvXusfH/Tdc7OG2AJzzzQCENoVHdGbrvtNfomswLOcrPGlDffZ
RyluY8n3LLcaPPVYvH7+KbTffYr3o/ODpiMLWkRXDff9YdrJnmF3vnUy7AuEg5G7udecM93NN9YR
Q9K2uNa2N4FLd3/LvGcvG/C1rUvpzLVc9F9bUJMXkR1Nduje0Rc40kXZaDtrVx6An9zm/vXnH135
6sX6sIMW5DbO4OYyLu3Srvz2rfKrG8mtHWx0buTGHsyYfbk5vZ55/U5zOLAn+8S29skRG4MTgBq0
vwXO3eef6oOt8+dA/msO1T+sDjHA28bQ+VTRzrIjZ9nmm+AGT1MKosLWbTBozmzT/zjWW/mJQpr3
+fXX4ftxVOnq3+/Rh9mGqUaYiQKYjuJSesY4HnDRHweCC75YlNZZ5bPrfJh1zNhUhmHJ6NeF9EbG
V3HajvrLrHi12FGK8j//Vr9/1H99q4+HSSFn8tfqpD9GRsrJ76oKL/9vF1gboO9eRjp2ma7nHKBS
7SAn1AEtw/38Cl88GGN9Ed9dASm9WWBOnY9ldWzz1K9klBDmF0/lq/v0YXJrpazFT5J0x2l9Kkvm
WFPi/N++x4cB1pdL2xctjdpxmJxYJ6Nlcpb89PlFvhhdxodZSQ9CYaY4x2ow6YDhyXjJuosVHmrM
iFtH+TiE8Re37rfPR7MkqDfQdKyP4jYTfXhQxV1/VPPva6oJltFU33z+tX77eN5d48NLk4VWK6Dl
nI5IU6jfX+b5F1WFry7wYUpcQLEoSVkPR5FJm2J0qmRf3KYf6+NnL/6HcQx9xERYxzjmbGDXTrgf
tuk5RwRnT8SKF16Aczh8ftc+WOx+Tql/vf36+q3fvToS9T+pkyPWqAcKwwWz6nnIte3xGXbwbrBP
mEH4H7bm5Y5km5eCfYWdmlX99FiflD2ndkS4OKDsbeFEm68+3m8X8vdT7ofBasYN7I+Al066WBdy
wSaXQd0VkmOnG9W9L+y9aM+H7+ILh7Pmdj6M9vjF7LUaGz6djT8890Fo9ai2ZvYS7uAu7rxAKLOt
Q+ZeWUf9TNn07qPsB3ZBxdZvNtXGdIQvZuivPoLxYd0TUBWpxVh1R8RFNrYEvIvfNF9yjUP/Nm0r
Lz8zNiRMfEfs7Eyb9AKx0dsX42S9xCdD0/gwTlJ8OTgEGJqNP/m1DUpm3dXtUudm2E27XbxuWo5d
bt/TVXdzv9oYJzhGbu9BnLOjp+yLmVJZD2b/9nn+ft21D7fEFCx6QwVTSu2pGx1HhTv5i7+coSGw
X8Nd4KeOucPVYJdnk2Pceia7g8LrNql/HbvrJuFfm4P/16zG/w9BaqxC/7l1775l/3NErcJ4+jvT
4l8CLn7wZ9teVv5Ar4NnWPoXivFd216Fi0ZjRqFi+2cIz08R1pprIYqYjnQOzAD4113qv9r2qkRU
OYAPary6goCLV+YfyK9/XZ80wiMkrM4WpEgQjCohyr9OgtRqkjZbCsKxYOeIaXxmhKmjDF+1B+Qf
/qR3o1YTSSZa1WZ0CChP/1vhHph5CkoqHU+ahnmig52retrSE2NFk7GUwxSQswEgpysvmHHO6rS6
NWTqxBVcB2cECe6ljZTS9dYsF/kLXH9a7bagVYCQxuZhbKvKyc0IMfHKQIva7Lrigo5cZadSjHEj
GAUQ1lqm3gUC11HAd8HXMg91PjkW9DengDbrcuaFG5YWfqAPPiEgndsT4eO26YT7g4KCaZxbam/Z
fM2HCEGxg5X4GivjlZBPR0HQ0IGKqyQSphBRGDvguMcxyEPkP9ItDovMFpFMuvLq30DZeglj1yep
494ymzc5NJ7CfH5sVkNvSiHLhVl/0prgoBt57HP43CIMbzYtpXJHaZrbUg+3samGThZFB7YeL8UY
pf6QixWKHyJ/snKqXKFfQV5YKn0JcbSU56vwKrlQTTRVFKfZUysuIven3pBumzY8L2nVUYaZr4y6
3yAE3OLhFewOqRQfVImBSMA4j2TtWkCG7yAUNR3DerI6vLTK5PY1ArO2V0mQg3DCqZyqaZtscNF+
N2fah6KunQtDjzulAFZX4/GSjPkoj4jhZ86GYyTFfiplJ2DHia8o42YhoSwMg9DuJHVjDdzbaETf
Leja4FaoFFAPbmEqXJXFMrvK0t7FOkyPEPCtrXTZdTv2O5Qcg9so4isbPxov43yXxbEGln65kCeg
HG2UDDB6m29SJn+Txwzv1iRty8zaQe2RMHKNG6h+lzkpBgjh9TNDWQpHz4rXJakeIoPSea6XN1io
EletjXQ79srGMOjWKoEPtAsEL0MMUIg6RvB/o/q5SMqw8RdT6GZH02mOS+KUIi+Z5QboszrWhSsa
oy+Z40roashkyzQoFbPkiAEOVlX5NorWLtYkas8YmglKqYa7VFNWjtgoibRn4tUZNUmxmybyTsGR
K4Hk61a7tlk/YwS8klLhzbR4TDVd2pLRCDluQErZdlBJRrccU2kn5BpC8XE4Mxt8dQJdXC1OgXa1
Q7wyTsdHPTFabwqr8zBGmdxWE+bDlXndnlUJ+VRdux3Hbu2aIlSwUP8nImjw8jzVeWWVIj1hRzpk
grBbMnYwURhFdNNn4IxD/E0fCWpIxkSBcixdAaHfTGX3lmIRdNgQ2IVePYyNBzpoF6kNNHJhS4n2
eUrEp0WbU8fIIFDP2VOmXg9jC9Gu31dlaGcCFrWicWQf63RkqR32XsUbFXU7yIrfSBFWN7ojtLWT
zhclmIrhoNJ+luxuKkc3EJqG/Ktq06Nen8vxsSkT2Hqzetd1onleCYQe3KzKxtBUmwBnQY72590C
c/pzunwvgvpYBmAWXfv4eOjAUmBWXcPe3u9Z27ZV1GDW59M4O4atboL9dF2e7xIOx8/FfeWlO1A9
dnDAxoYxZPNVdWk9hf06iXN5y2DdAXCpQXP79fJN0GuDoPfLaTCeq2BncSi3picB5cvn3/N315FF
SaQpJeqqKH7Y+2J40aQY9vhJis/I/bGz7M0Kd2vH6PPr/Lr6MQdxO7mfrIEUlpHWfTg51bACtF6K
RBoGh0a/qBTc4+r959dYJXv/dtPef5kPF+kjUWxlYtFOg9/ewSPyhq34zXRNgE/nZG2G9lXjQeX0
5e3t0XQz+zicx/5d6wXeZbIf7S263LPO5S+6pc+/3t3nn291hv3b51sJzIaC9ARh3YfPl5Gfgh9U
lE6gS4/BpeiJ59J9uCdyBFc9G8b9o7SZnGPtj1u6c/mB/sslTEefKLs/t7b/3UiuA/g/byS97H/c
soE895uNJD/4cyOJ/hM3Hmw3RWXl/FXNL/1BfAxFaEIdKTWseLmfan5Eo7j7UGTKPzSe6yn4p/5z
pdnIKoJ+WGLQTsR/hKwBgPfLOKIEbvJ7mJlEFZQXKtQP46gOg0kT6HFeQOm/G1f01IAUU2DraxtJ
25xI9wFQxWL5oKlV51haViMdFAxaclBxW2Eo9vRcejSTzNEi5CvYFAaiThOpC0pIrG8AaPM1h4NN
UeN0al96dWANTr0itRLYWuSXoPCfzAhlv3Frwd9iVSl8fUEyZMDmYkIItw20ri6e7gPg46Blq+um
jGCeCbG1lcTwtYD1NSniAbrqkbxUxNYrDoxEWsmfNXxOiKHOsjHezCs8rIQiBtbkMejkfadXLfko
/bU4hJkf1mTP9KMu2vqkvei4BrboyxAATtrsW+X0ppf6m2FaiQt0tXdbuGbWpDwUclnsqx6nGnqb
Z3mILqMVhsbHfLWK/CJFb0GF1HCESC/LuwmvssfUs0mxIG00YhRhaPphCWsyAMGxaPmbnknetEYu
llm1UQlhNJrxaqTFuMUCYGLm1ghDIS8WF6GA006YLoxoVOyYYMeYgMdhTXpUZemHOrWkVz9CviUQ
EtUjWb3dE+kfxB8oZEb2eCqWNUXSFOc7M6Ple5padOxVN+FRy1gSrbNIqL4vfYQqE2SM1yY9cTkT
HFJ1yaZNHgMOquPE2lX1HF0qqXwLLRNQGZk+Wxk31hKmyuMiGjbCD8vqb3o9C48Y5qv9IuYNWQ5C
uq200hsT8UoCmMImwwQAAznHTsX4biXqoGmgOKqQbOsqIY3kSq8mVyuJqhKE8hQmQYB1EPu3Lt6Q
+wQPJQHv13MwyvS92hfcYrwdQTLdV1r8zVDys0CgrY15jqoR4g/bEPpnTIJwU1TlUZCzJ7bXqPhC
YzNbKt2EKNnKIjweo2zdqV/QTSoFgEHTn4vUxZwHYjA9I/6ZvDCB08o8X+dL8V3MStMjokm3UTTA
UE1D4vKE5BVlwoMmw3KNpqss6s7mQbgB0/TUsVxySKBnhyUL9eURH97tVCSHecx5WoF8F+YY7qMm
uCGn6tAl3KFKDlVfqdi3pqZ1LGT1MTDGW/hYi52FWYKnli01uUQvrWpdjQ3Njqrx5WCFMxrDxSip
V8rMd8mD+LJppR3BBA7thH0IFrHX6d0L2ks4d3frcSUsNPjQ2kUUL1ulyZGwxRx42vlB601zk4RC
bqcx/TqmORyqtYDBZoXYBmQtOUPcPDRtvlcsZBIKgdPictcXAJcHZG5OrYy7qtHWBLUS9LSQXcFn
fiGSC5hrirRl0c3NGt7hQVw1vaArWw/bUe6TfrFdVIhOSZUnJOJUztQCzpMBUK8zLrOUVHqpOpxK
hD22jIHV74f5MhRBBkoQC0RuAXPSpTLr50lvvRKgsNIC9FtZV88VtU7QWcITHuYKS8o6xTXRQoCr
eC1bhZ8ZEUylqkU2DQzckrRsmwMikrIOZU3e6dhUp/t+Ca8lUX0xcqARoWyek2cQbMJQEHzO71eS
oTSAsFOJLBvjRSZQwZOKjPhXvfJmBflOHsvqimfwU5i1TbcE10mNIzdupJsiHpA4w+h4rSLhqBPK
gqyEOSKO78douGisaJtr5veFLbDXwdoCBi0C564rwhhbTQDv0S75fQ71PDxf6OeSXz6UHt6zg2Y2
N9ZKwmtWJh5xdk8kgFtepQ4KqQ3LA3Zr1BRD+6J3Qu0sfXNCN3+MgO3hB3+agO9JK4VPKZp9tshe
GqqZ13faJdC9894ir0pfGX4JMD8TqJ8o4C5qVs4fQdwiO/n+RgEBGAdYykACkl4OLR3ZHJ9mebBW
bGA93+XaeInc+sR44CYAGMwBDS4aLqRuxYoPYrHpVxrhqp8swBNKersnXu2gitNtIWMVA2OogzOs
LLXAOcVbvZIOjUznWLbSDy0dE068EhELEYkOc6w7xtW2AJrYrPREA4ximOhE5a1kRW1lLAJapERX
Jbtl5S8KKVFIP4iMK5sR9Ly8Axgdu9ZKbixXhmMqNpBdVq5jOFEmWEmPPzYj/92VrSCE/7wru0Bw
Fb79+5Zs/am/tmRkomCsxOdj/EDzsFv7abCUsFEyyDHk6Dgm1fcGS+UP+kBAgjVkeQQ2rXqZn1sy
hdoeZT0TL+Q/r+1RR/ywJUMjq/D7LbZlWGek1QD6/rhY65DeR0MMzhuylAFRZanlSL0VHISpFg+F
0Q6U3cS5R/od7YkHeTRDdjWVkbwqgybBBYRas9WjDKRPraBtE6u68ib8B6Ej61F5FzYD/kV4xODI
C1zMtpDEOj63CjUbHJr4revFgHWi0PD9t0MJ54/MNGzoftTHSQ1PrZVXVYI6+HWTWPp+NphQrHSG
nNKzb0zjinZ6gmCU3K3mu2CGE/5F9LNaHFAKkvFqk6Bm6/NK8FMSy8+IxbaRDM428QT7rJcuqqU8
tNhzlmW8lJQFNbC1RRV5Bllth6hqN8UBENiVurtIgkZ830AgbqtGZ5WKc6QSTgnipasqMA8dy7ej
h9AeaLhJZwVEL0cWxtSb9SSxG87/LkWzi6lrL4QULdAYAnWbVSANJVMnQZ74UjOmusqJlbn5nird
dZyJ1xSOc0SPWVechJqZTVHZ5daVH5K08lDGAA+IYAuw1ZwPakblpIy+Q38H4VcZbP5ALRNYDpRB
ySG2aKNfmZjwDRS0btPkm6Lm61aZDqcW5VpAsq4rS2SkDeEItaACxq9ord8R+QB+fw19XKV5M8Uz
i4m3kpniY8JLF8UfdHxSc1+pty31UJziJEJhH/ehU8Y4P3LqMgsLLL6DRw1SOdYJwULQVaAfdVpk
95t3r+JvCiG/njXo3fHCIVulhqpTIoDg+uvATsRoFHEYJEcZHbCvkMj3HM3cp3FOCYz47/z3w5m4
thz/8/x3Xn4rX38z/fFDf01/FqRUzHhMVxSjUED9Pf3JpE9pBmp35h19TYv660RK/wKROhbGHyHf
isGj/buzwXRItgyNchG8EZ2vf9DZUH/tk3EeXc+gvFSSBMGG87L86xipy1rtzIhc6Brgrrmt05E9
tWZcSECwsSuFQiAsXlqVo05yAO5sywXmrwZY+KaO6riYS931iOfH+j6a7bYRCiV4rtI8QZI4Fplw
4Eu3wV4iXkDywkUQwpOaFjFBprUaQSaREHj3kD+0hQjOjGREav5GYaxRCrOuQ/zvFIuQjmbuDZqa
pHNGWwJQMJBkiYabeyLYeluHDZXTIm/BldZj1lywBQKD1SvzaHihKZYwpU3dFZeuF940YhT+fM3+
u/RLnw79w1tT/PvIX3/mr5Fv/KFLuqpS5/jpqv258MvkIK3NvNUOqwP+Y9j9rMVoIAZNCU+DaCI7
WJGAP4e+ooIYtKif/JWu9k+G/nqNdyW9VY2omxRqeTfBtOOS+TA9GlIVimQuovonKQQsdtxwTsOl
yAKlWhtjMJ/bIBz9uiJ9Bu5fogoEp5v9bLlGLCePsUxeNQnEZV/v1Lhldk/wGokep7jeANreNOOJ
pvyx7Yd68QSdcgjTf3GZg719FCJrvCRNMsQYFci8Gnhb8eoVZRa7sroQ40K9JnTr1QVC0rKQcx6T
iDVuH/HPJpRIJjb70+Iqvd7GLXuHKZb2eQ5u/zpcZtTkMTRC2etoooCSJyM5NgrEg0Onu8D8kw3h
jrU31vCXhlSXvHEiOFgEq38HEKCX8KXN+uIpbY+vYJYtoC5Zr+j1eWWs00GhVkLLNmfRz/sZlo9b
yaV+Het6s+YdVImnE265kaoo7a5RwVB1AKOUXUzshuRNbfBn0nzLh2VULUgUnMgSdi5RaezqTFJE
778L04+FSfx0Y+4T/1L8rlb6fmNu/oHFCmcm1dJ/ud7fvZ+8aKxLoi7yN9bd98/30/iDPxvQUn7s
vX+UUX9uzLU/6OAj42JNo5NNoOI/ej9/84KCULE4A/B2UnJXPvRx0px8p6kLjCM0w33Y1UNx3o3y
jIshH6qKPXLcLxtzbHG6Rnk43ZVWRKRfaRUEBHVJ9Dgp7TXByLMboUxxxq7fwIxwaZDRMhQLGdAD
e77SSl6U1T6lFFrswR0jDZXMUjLcOhqYwiMpvFcklt2PfSmllx2RYdekSW2tcWKsB1i0OGKHYiwc
06AwR9hcNelYQvg4Q/c5BUEU66com42TVph0QVWIl4qtY24pXQ2EUnGjGwJJyBQQRq+dpKAj6r2N
4rueChnJ5+l4n8pWRD5bWm7jKElmamPNOTHO+7HXrrRQnYncKe7EZeVOETpURtWrvNLFCY0EZ0II
ZLPanSXlJVrjbBtBPeq9DDB8uuujWHMUKrXCILhCztk8XKHaaoU90pxHUL+FoXqSGt3DcDZp4KZg
jrXr1BwvkqQCFirE32TLuMl79U1Uk9hrc26KZnaXBv5iDto47SHGESmEe/ppVkIKWGO8FReap/Xa
A88z84ZXXvbLAqhUQVS6PSXyFvSSXQxD4+ZjvFMinPxaHhnkQrEFaMFPeVhcSN0W571SyZeB3OfO
okRgPFR5W6Z0gGUTW4s1T/JuHvALC734TSwt1+zbnBhyDduO0W7ywnrGrnMA3nRoFTimsUn4lLJY
19iJB8eC/DQFwjfNWvxMnHZVUB3DBjQepha3ahZ9iy4WbXpQfe9KWqZwwFK7F/LXMbIm2CjFA0O6
A5owcDZca/IMr0tV4tjRmYCwtESgoBucMgt9Q0jSRBhJV0El0Eyi1GWLU6M5BMq1DuPNjbTyoU9k
XGdht+94gl3b+1DiWFA0nLi6WIOXK/CZDfPFVGv3UtsdrS6+SboydWKxvcvD6GqNWXYrscfLrgs7
qimKPUTN1WwEN+RnXS41zif8aJULXCu0rTieXakJTn2w4C0KBMA6wmtTC5ErqlW6mTWqR4tkZc7Y
A9EJtRbQjoi/SZ2XPaCsi4RgcL80tREHbqE4OUc3tnzjGYvfN2I8oWOZGejc+FxPsKTGonEg+HKl
AZIUPAPTlXgBXFVKnhuxGv3Z6i6sRn0YhEh0eNUHO5lz3Yl65Xs+9xh5q/KqXyqng5uwrMGchjEt
NqnNEKPT4VYel2IrqIzOYK21tln8ls3yQtXKeNBG7VpGXLAbSmhwWSPv6N/gFDZNTsHk7+mEVjhi
rqr+WCcXcai7upBe5dlwDCPG9hgZIBaT1Itz6ySHBTa9jEI/4DskI80023Wh34wSNCOxEb8Hsvok
KtmrqGi7elQowIVgCwNBflNb4a5NDMvJ8/wuHzvZk63+ep47aRPr+WM5qwdNKGdtWCGrINsMddIv
lcSsDGi+IubuqH4B4UiujIa5d43V6bX6XBcgzy0pbY9heWkU+bE2LWVribBaK8s4Lf1QuGYXAX9v
yM8jBQK2WzTDRwtY343uOiowqZqVmG1nsZzt3kgT5lrlCVP5dZevR0myjn32QaNLnnniJlVVENQi
onoHeYjc4m1Y2C8VGiXfRB7cISiNbZoWljMIamaj0QOVCxuN5KTxFc0LGtJWVbZiMGrHeNJQDbY1
jktBjlxFrq/GgsribJJCIJG4ncbFxHOKyaJRZjfWktmdk6g6z41xN+fBE94wtJACJD/ZIJRvUhit
VZO86hwwiFxMFk8rAj9UlRlTZFPvykr1UyILsBHqmW+adGSYD5dNkdRPjakRGS8QcQZkj1r6ZSTE
Oj672CL/ZGXuYcb3J6HAZkCu1KVeyJVv1NKuDpUzGFXkLOSJuaGBRV4SkZ1OMMzzPur7bykxQX5U
dcperhQiESDMA4YNi21UFPDpxpxnM86CDxSQ3F12V3ZILr2tdcOOoHVkMZKJe14j6zuz9oG1HIR4
yXEr0ngI0uWSgGyXTM1rUzD0s6WlBRP15DdQmD9BsbgpZBRBK37FpxgV230kNFgEu1fMuKQwIrzd
TCbKslnCDkk8DuTMLDp1MUK4YBHdlMLLpqqWA3ztMwKWXBjBpwHslKcktQhqmj5YbDRHS0teTSI3
sjagU2gA7tR1QSOdSiPNxpw9QEzoQZYa4Zc43kl9+lymwilr4uuUNCVHRP7gJQ2ozkat3jLwxWEu
qn7HydJtYpVfSUCjO2agT2LaIkMfHwOrJw5CEgd3rJvAKYP0UOBp3CZTEt7VUUYoUvAI34KeAq+u
kSE7z7tHTRFsLeqO1Q+ZUpe/BppseZKFZsjKs7u+NBHhxYiQZEG4XMRKdIUsPpfAfBGilB4yEGWO
ypqqCQMTmCS9TRyJjT44M4M5B2Y576FOgwxNBap1xX0+w/YsZE6tc56T3qQ6PNB93UoHLcu/CZX5
fZzo6+i0Nota2AZt8oYqz2/7stu0RuW1Ff93LIU7MRHPlvCQ42pteoN0hPTZ6pMX8t2daoAAlzTG
jkzSddSYodPqzX5pR1oqKY8n57if0JOdFsYzhkPqkLL6poilYqNPvKaIyV9mAh9ywvaaTLJVsaRR
ymu3Yef2xA5sF09ESrPTQUym7xcNOGhfxRd6jaTWGu8lhV9eTSXUuOSQ0k7eKHn3qpKjEhowKCuS
CkQjJ62huJMUFjyLc4oG+cOdTeWI5Ou2GUf6RK0IjbWqT1VsnZEsjbxRr696oRlpm2sScr18Q7Ah
DSOZ44c05ji0YavALgt90lhpyi4o7wh5uc6Hmq9m4j+O2HfaZhZDZVPW3UOzM5RoP87Jd1AqsR+O
5sUsJZty2bQWkWbmppkLV5rOTCG9ibK1KKyquYM+dZMkK7LWYCOjLC+KOfr6GL6Yenymyj347ACU
a1vVzyRtETgpj4nGQjw0B16fm3DmMEdj5U6qDGgvkOXaxjO3SphtZYqvQ5e6galUl4Xe5ORdFbFO
vISqSQJwnbIUHQLO2maPGG/MaUiPGMz9MhuE+XLm6RSiFguuGiDrChdjjF3TSuHr0p6bUoG3TWg2
i4VbpSkFXzASKPipMPqxWroqeAQ3GMoHSscc+MyhpjEXSl4mJ7dKU1yPqj75yKy+10lzD/4ERz8b
LyGI8bBp1i4y1GfiwE9TbAHvNsDDRnEHNNbgDcFPDl9vHCQbKufEcrLSd0QWtpYljee3Pjv25r0F
fd2KzuoGMkNWqe7UGcehiy9gI52trEQM+cmzZM1ua6lnpJmzuymrF9YWgn8zcKyFedvGsbqnuv62
BNBHlkQEpjCYIEb6EzxVss0jMOccJWz2NaOrB8W3Zsy3CuHdjgaS3a9b/UytsysZc2zRGYOj5eW4
Zd49s6BkGbPGYkes7LYfeKMTmQuSGOekatbaLfCfpl10qr3JppLZ7VpS+pTWsaNGFyk0oQTf/Tgp
O60hGMsywUcAs0M70F3kWvKNCGO0TBIRRnN8LEPxqFmznxXDUZUvdHrowlJTuhbC/SCW9+kY7roo
fuyM7raySvR7OILNZjPpxmr3ddj3HudafoorcspbgZkxD3fLbCy7pM+e+IC30dpzM9gLelFXQQnM
hScVR9Z9vgzgVerkACq3dNshKaHyLefjMBMho0sP1SAiKEwvqfU9p5VJLFILM2i2HjOtPIuV6D4f
ESf890D/54Ge8+1/rjRvsrfiN/U2kR/6WW+jnGxqNMUoDhPA8eNk/td5Xv4D063KPyjZZcRRf5/n
EUyJInz9n+Knv0X0ikWjTeZ38R+kf6gp/8l5nsrfx4IbxW5EVPxO0wTvwq/7pdFGUcig2mtaF3Le
wKXSpKWCILomLihCEcn4z/M2eEJM0FxCICWfIV+jGhYc93pinTWFlbJcpC8pCoCZzcIg42KfVZWW
b6Vk05pOseyKCZBTP1iXHFO/E34bOyQksBzKG4Fk2rCNOavUG5HEWpPk2qkStkKcvcC1U2AalGdh
Ml6ma9it3jUu572tIcpbkeMuQOTRITBZoFGNtVayjjI7oHiN0AWHlvm9OG9naWjsQpBekpyA8HrQ
do1pPFQk8S7N+Mp8eE5eRgZdhu/2aAG76NYAX9Q4b81suuka7ZsARmU2JO6XWrmPVrdw5EHa1iQC
D2s08NiJBB8oQkPAiFHsRMXk20J5ddtyuadicG6uUcNjgv+sWeOHZUoCkUq4twLavVkjiqUmNLyE
1GKT9GLEY4Nbq9C/JJKNcxKOAbay6y8vpjX6WMgDzc/XOGTi33fjGpBsxaTtSsieXXFUB+KLCVIG
fqa4nH1zh9x7dM3zWuPctcSL0X1Mvs35YNriGs3clAGqJ6TCSjg/k7hCeKQkfe9kYS+R6wwZ8YwS
P8HTa+Tz8CP8eezH/2XvPLYjN7Ku+yr/C0AL3kwzkZZMej/BIllkAAh4H3j6b4PqalVVS91L/1gT
TUr0mYEb556zz3m5FEKrpRp6oiMa3t1HrhXjE3/Ps855mXP3hPzKbjCjYzg9Ugl5Oy6l0w3FLS3A
jaCG1WEWPY8xYFFiVWUgzygz6mRASZKAY5O1vs2JP8S7xPfxilPmEpxMSiCOniyHHU2d5YHfS6Vv
bJ1izzjyg9uIumWWssqA9VeXyAGDo+wdvho7C7N+EjsD5DSGuqIxz70s6x/90vX3lKzqT/8ch1/H
ocnx8dfH4an8M3Vz+Zjvp6Hxe9kgMBzzezjo+2mISdR1DDyYjuF+tRf+cRrSQbx4FVA+/72z+K5u
YmPAT+4HLCy+Sg//lhOUQM+vpyH9RCSKDBObA6fIr6HkduZC0Ds9QD+rmEHqujpBypK6dZs+ATHM
oJkjgCsrDdk845YOBBjWb972G1wBrO47R89Ofp/o1OOZ7M3BZCIEaDbwqt5Ogw0hFO4W1kyf+7Qa
u7QXaJi5VoWzLuzFPoaLoKJIqMGvGQxkLK77FAeSF2t0mHtOgxQ1FY8ccNDruJN3BW3lbTsg4ywJ
kybBlNYLrd1GPaDQwjw1hZttyhwAgNJvCpUsd9OJfF1UnQFbOyvq6NwYpwcS8guqqoxWVcXMXh3o
ToqQfCosQG6aMCMi/2WTR8eOz1mA/gTwYOJw84IrLnR02wtaBPqWg3OiZAbHNhyl3D82hfpmTt0U
Jv3w1E2OhaMwO8sT3QnzUl21ZaG2ozvgFMMKwP277og3zZCTO7KBuirmjXIaQIe6udEheYZpb9Sw
cYZvmj2RwKBlqF8MtXlkfJumqlz3WAJSbG0Am4j4GBlwfs5JSsYfekexC6rHczhjPWa8wcTcYN1q
tr6tvZ4sqARRz2m5ipqoOtgxJJvJLi9Ss7yp6xGOfXUGP3IdT2kBMIosJR3DACHfbIV21QBM6hCO
hkyGREK09VCJI11tkEGxPnIt53LTTTgtslISXvIY7K3ulFMEssXcl57rakYBFI89RZBrcMzJDkti
EmquuGKZivobAD6qu+NA3dqq1ptHAcR1RVv2mVLGbUfbnztlyG+kf2SR3ohiOE8cbv5Q9LjVz8km
clS2qmwt2jcSxLU+BVc6PKKNX1sfZWa0e6MqW2Cn5YVjFN0utvJtYcl7bAwPSztmWdWXWkxMzQsk
ptqMzS4+2W2a5Q8IJ5AgES9061mvoIlx89sNY3Y7SedQiBqLSxTD2fZjZ63I4vNCN+OzqgJ6awV0
cMXj+Fiwjad+qKM+E6XBbu/sFiyXaFB5YvogW2etgRUl0vY2cTtFAR/HNapXxaUdMDTVlKHV9bdo
R5IKYANzmRIH0dqCJzTXUXd+lr54qR3Kl6aE+j9aIhasJAkpW+/vh4QLiCFtioTd+IiZ9qh7wWsx
+2BGBKWMZmnckmnZJo19x4V3p1nl1agnC1fXuqUdhjhErFOOOWloj/Yp8SptbUnAiEn2mNhesSsM
9ZqLedpLJbiUNATdYz9YF5osQiunUgIj8HOK3YXfD60a2US0L6BnEgqcvhP63Jwn1EDnIzfZyMzs
jc+6B9M3WkGrLg3D/mgycNplU19Unndf1lF8bHIr48I9feBGvUm5Ca5cooXoREif7aw+xwG1ipbW
IqThwUaa9/wlrWjsMg9QXpTRjhJJXjqYx1bSgKxeVgndiap01gx2eymmVzfuSOa6RbGZ3OC0yJqG
Zn/IbrLCcsqYKiRgAqeDXK7pn81on6Gn79VcPhcelV6Es7nXsxCgVfBMb+ph608a6cLevbFpODuI
DqfUnC59VWZ6MmR+VHO8o8LwjHDpdUqyMM/SQ9zVt1Fcf4IDpmJ0bM6hxV8uVM4K88TKUtxhdQDv
ZwHnImdjyTs3o8ir7MddKsvHoiTG5o3ICGhgK4cs5mYULJiSYXwIWjysU2qQVMJCinoqWVx11pU1
xux6CpD7PnU9wWTmW6nYxYwfY6NwUTtsXApk4Rh5eFp0YgPBOFuUY+7tD82iJVuIyuQzP+JFZVbS
Q7JHeNbb8h0n3MuMID0synSFRF0tWvXInih0Fv3aWJTsOveuBvQxYWHu1wRqd4bs7SB/86OGYx9f
kjy0t86ikItFK58z79zj4R7GmDL7RU/vgS8d7EViryJygMG8axDf85Fyr2jR46kWKvYMofcQ5ua1
u6j249QMwb8yTP94NAxcC389JVHz91Zm37o/8Wnwcd8nJcLXy57XImnq4k9aSqy+T0qmjXeTUYkN
qGUT0Ma7+a89MA4l22UTvBA7qL8wzB8sSjq57GWu+WN7/DcsSj+72BjS/IWV/mUJIQZOE8bPt8au
VyNRAGe8gsKLoy9VN2X7P4xyvye4f87s6RhA7MAFB8pMtpi0fvSAGtii01S2Fe86cs4tT4CWZGNs
mYV1FS+nxpLDneT1XCaufxHHsffEPcqU177uqDWn8mTShVCt26k81PF0nkScilYC7RfnZT9ba6Wy
q8jRwqzUDqoN9lpd3nY6IU8V432svZspafeRqnl+QeMrEmCOvK+OWjVear58y5R81aIo7KvqkGbp
E9EQRM8kvhRdu/HN7ODFmKKMqflEAd5V4HTDjHsdNhC7X2uMJ0DXxn09oMT1Xnrv4fSy2jU/3pNw
9YMe4EW0jOpYT8UHLqyYHIFNpiT/iACbEz2qulWp49as22ZLx+B51Hlj6BeLl3w0mcQ8/W3hXlvM
lawAi7vBEMfINO+biTuQmXSPMueMjtX43rr2UdlNsa3T6lTE0wjB2uPQSSJnHZXNbZMURCjsstsI
ZZ1yQcqpa63rbKRncR76Jy21aKjwpg0qR77yze4z9RjA/MQsMXSWV0Vpn3ljY2Ogh26eyTrduzrk
UjYsYj2lfbFJKpOzfvABelfzo5GX7JhZL5e9duOMGukMM7sb84Ch2JfPWs1D1ByrQ0CNykXWjcaa
BM2RjilGT6MGJu2Lc9G9Q37ZBj0Kej6aa3uq0bGz4jGaB5qNap+1nDCOjd83YTd4Ozjh7wD+YJGo
5qz37He/zePQT5NPP0dkFLY/g84M7ohHfdrJuAbN/pHUrFKNFpqj2cSo0P66FPnVYLZvRprq62bB
PxPJP4CQZW86dNvEX7JVFklbu+3Gja3p0KKL/opMwP0g+natZR3VhXGzbPhvxdTVYQlPal1EJD8w
L20GdIJ5ucMGfnprUqpImgLhOBgepY6umSj3M02DF8eQS5sw2WBrktQAA0Q9FTldSCJNqjXnyr1Q
9W1hO9UxlhQFZB49T2U88mKdXoY0W8ikNTXQI78Pz2OAciNy4qgcQ1p82MbobodGv5ciQ82loHjS
KOcYBCOtp312mv+s0Xa3cmW8BlSDd2OKyKlsPJpfcT9ZSh6qr4TxaDdAvit+GwGogvrOESPsVhe0
aRVk8l7qVnBw5im9cq3xrq5NburVB47CQ7JUPWVl9c3o6sUznAjSFewc5Uhva5Okj7bdhZkbZexV
HopgM+1UrNLzvETV17Sbpk+DRY8BtR9GOSWoA5RPzcPg3QRcItoM+j6Lr7WwKtLb1smmcxbFCliL
164r3ptLlfVFW3pPse98JPrEhJwxbNjM8zmU1CFWZ4h+ryBgzsYuoSe8fxZc/5Yz56YpjA3t2jel
YR1GQ7tRygtdTTyYEna/7+B/0c+CEUem51+pPD7NbbedsQFEgfqGpA1B3EtDSd/DJo+0taT12msb
mq7YhTbVcOFRotnUElovyTi8JCNeGpYZqa+x0dYuVdc85EkgN5HZfrRdvDXr6VFrP5yeV+LgelvL
Tr18HdHaSVQtGpH60l5p2kYflPfgiWHa1XVjrlNBybnjV111IS3rKS9tCrTneuMNhaARJ+XcWsnS
rtQqd2Zr1ykc536GeuVb+YOE6Nx049M4Zg9trT2TgbOu9d6Zr3jg1dsmq19rk56uxvo2Rf5lPYO9
ygIRFjm7PofNaJjUA8SeNEu2+ZwHd3buq5PI49tEiDc8Gdp6lMD6G+R0JLmOYHnBNt7u4ufC5K84
xndQ6dIwsLRjP7RPvVHOLGO59EQLLKDi+1sNCc+edSA5A3otc8MWn+2l1vnanZuy2FYqGDeiKVk2
NHb7GAVtH9qdl+95N/thnXWh7Q7DfjC6ccf+rqTmuFS7sdBjNDGKhUXHHMai0tmPlCktw9aVI7sb
3PuLhL/jdsJIr0XvSYnTZnaNOwTJp8aYboXTuAdAHk/lUrwB+za6+GEW+RN/OsPDDwbMJViuw0/w
lycuc7+zSNk/PnTdrK8wJNf9VenT9G1cpv6dy3ftoKnCJf3vX+vnKWL5WujhrmEZ5D88LGqLNv0D
x6pty6kzGTuvfEoh5UOtAHj/j4z4//oSy7//8CXGrM6ysc/Gq4o3piKyGw8vdnX7//FzBNzHPCY2
PNu/fJE2powq5VZ6ZTV3Newi7UIbDv/9S/znn4Vf1Q9fYuEO/PBzdOy5BfUn45Xt3+b1ds4pLxwv
C+81Vf/jK+E9/OUF8PNXWr6TH74Sl0kndzt+mBqNwSgw9JjHPme9tBny4wzG6r//YP8JTDC4sZqO
bem0veF7/PnL0ehHi0lnjOjET8bCKHbvRHym8n8U2d+BTQbhgb++axzy6qNJXrM/uWvwcd/vGgYX
ioXKQUTzaw/F+/D7XcNw6dQjmc9hQBkDubB/3zUsLij0L+kM/3wgnGROiu+qrInHHCWVrAS3BBwp
f8tziof1p5ckJHvLwZROFIJTabl2/HJOeHHdFJNWq9NkVZWxNaTue9ie0TQ+dcqBHEatTu94ult4
1uY9hTlyLBiXU04w15Y3kckm2ScBum+MwVMryzXfhc7auwyiV9hMtzKSOaWW8Hnq2TW3lmMI5l29
PZWu+xlXPk9cmj54N7QJ+a8eEaFNGuSP0VvhwXDOqfDMD1qRdYz7OKnUmvLYeJ2mormodANTHwYJ
3H3yjFRlEbbVqLbQoKgerRG6MrhHazBL+BXx1l7YgzpKhzLZskPmSDK5lVrA3pkVnM9s7VJyKUni
T4GH/6rjMVwz460NieRaTzwRKeMFw2Nrzxmnd+VOxdGL+zvDpYEkynER4FaoyIEp7aJJ3XfyIGTX
S8/Y0Zf3OafpC5YEEr32YORw6qlnr+xU3ePEibDOxXAGLfYucfrRidl8ZuzFpYhvlpRVVodemxFF
ZsdC33lQBGdEm42NO+ra0a4m/dyhuGiXgGBC2+vd88bzrn2Klm65CR3GWN1plVOsSrugftUvrz0X
kQpsFP3quk1tYsktbpa4Q2x9ZJOHn/7ciHs0F9XEDkB3gR1Ut+RZFymj24lcU4zJc9O4zWXM324w
cQifFHB/zKfCiLAzpnymYO0HGh3mflDjiWW/5ByqTpl3Gv0rycEc5HxshiK4TIhA16ty9rFtBPwS
ossABwcOChmg1wTy3MTMCo5+vqW60JjCrzftP0qJg6zx16fXXZ+9Nh//eXYtH/Xvs8v7DRmCZwdY
nyXIxQH177OLInAs9GCtAxY1HEV/nF3ub+RfPGQvhzX70gX+x9lF1IU8C0tx4COwtznx/oZOQiX5
L2cXX5hjE7jIcnjypPtlNhBRrddFXvYXc4ajeEr6l0bhnZKyoyF5yELVZI+kp5M14uUpafwxdIyx
pWZzuKK+7YAxD36mY/Kqo7uBK+5Z3KcnbCIM9nQg6rr8xuZHrrVyoLhBG5ndR/NUzmgWke6Kdd5W
l8WkP46z+2K29lNQkzD1QUhto68CUDBuGVvcTT3G8YrJeeUJjNPkKx8cv3ipVHk/xATBy66lZsV1
acvuWOcXj12gPUaFQuj04NAmp0HG512ZvLSlj0MTG2tjOe8M7f4m5wcDaZW4O9MsYY+Wz7Q4Uo+R
WjOfFuZVnY17PxjvlQmTXnTj1rbnLjRTes3tkSi71PxvNVNJCJL4vO0QAooZUKRwNo70b3B7fqvb
4Cpx0ErNGlCaLkDuReN44VfDE9b0d3AJz1FtXrJuerfJO6972XBjLEZv3+JyE1WAix95KRUvmUlp
V5X5rK9cLlFjVb6PRnCSmupCrIEjyVJK35SNsZQ7CO1rhnfetTTK2RENBFk4J3g8IWxt9WY8iiDY
C9O5UfPwmdjph5c3d1YidpE1P7ERoGvV45vkjxToLLnGEXHY1Fm3mFPtXrsUKeBa/8zSoATgpe9K
SqNZdwHuynXz0RbOjd2piOYTeWcL87OnQfWgiCavTPqntrbVP+Vav2/JHmB/dbd9RwUZVajpjuaW
59JO5das+gszdjA8Sy+jXgY9mufGyp3lVicxtIK8uKs72GJCVgNBQ/5qOfP6Gr5W+JVrWPgfbtK2
u6hlPRblNfOhFIBvSE0543zj0SEzFs62r+16jbPe5zMhxevdhMdvbqnY6HnFOd6orf2ZF7Fq+Rvm
ZiU2YzPfEpPiqxb+VkTDNtL729m3jjj6rZVnZqyB6kiEAD5w//fyvSunJx+FjvmxetMN/FZFSS3v
OLFm1ZO9W3MpLLV4r9MbH2oeODhdL3eu0neGnvQsabVg38Ujs8Hgf7DzOvenkrJwmk43FLkdXKEU
64mh2Ih8YsnioKSxmOPVSKjD6t7aPqgwk2OHtedqvson1zyzCVCE7Dzhf2VfcRGmkkdiEM2wab7i
JPwaiJaYnSeYU1jYbd2v8In3FUSh0YS1IdaUpeEGCeoKEYfYiqqT+MqqJ/FMQ9aGflh2snZsRxcV
N9e0c2mrRsHXHbFH2Be3ca1rPOyd6VrPtCMPvcTaTN4A2gWrP5WtvtvWh56cvQvAZuoSnrVWloet
AuMxZtcl+irGnNQyn+So68kpo1iRcyaLjRAj27su+p6NpasgU+AlXVSeSNpOvUkS0xN3+lc4zowG
AX/emjGM13ruRi+MN6zKdJNMzooO875a//O4/LJf2Nye/vpxeVtmr39mwFg+6vvjEjsarC3DcD2X
SxeeiT8elybF2rrrU6nqMtfzDPzjcQlvi/+V+zr8VmrAFlHg+6jv/0bamQcpV3jTw8P290b9r+ve
H5o/+U/PW/LxdMRyitDi/cs91/bztLF7k81mo/e0QrptGZaZbR7V0oDMZOdt/W7QT6NioTkQjAyN
pTPZC0aCEXqZ7UDCJeSHymjjaV2DvaiOWXPrF1kWB0ChjOiclnC8bGTYWIEyWsJJBamjl9W01/zg
OJkzINCO0jujsuQ7EJZix90+wo7AM7ep2uklj2NxLOuYMMvCYzIRl1YtyJ+1atRDYNbrOLNeVZR7
x55r0pYo0nhWsNbfkPKkGacLovWU6ZfS6mmFSKSEtVKz10AM4mKCqB9YHYdkOne0v6XpR0X4x77u
ijys51l8Ygl+jicRbfDPrlFCj2lJ/yX6gzyYpLigi3nmlTAEjz51THqr2dpVce2UdMYleqftOlfM
4Mp660hltbfJrOzMoFPrkHR2EOpxbO9kVtibwTQjqsdwiSWO4AGX43OIyuF6bnBAVFmbrah5nMHY
OptU+iVul+AitajkGhS/Ha3X4psEmkaYJ4Zx2bYmNgEPyb6O22Nvpi915eHpAh2B7dtNNxSoHWNR
z91iAqEgezQaoggSLnU97mE2IN00rAqcYZd3CNpq7qvXoRTpaersD02WOicLhvKczVjIlWYtU3HL
Zu069zCmyGnamUP2YKZjF5xjpoAAYWaXQ21clab/oIvWo9QtOVQ8ZSeTp6BX4wes+DquS2YuG2xx
alsH+0ORE0szPhyn7OlmG2+HWKarllvCWupY6fJcv/REACqu3HHGnqdTcKpGfRcbPXaTTBhrN+II
j9ItccfLfOZxhW94G9jLtttRJ0dVYSW1e8grjBKTfUYTK//SE5sxG5JERh0Gsf+OUYfbmrqvAy6s
U1Th51kgTFiLVH5RSwcrh2m5/Tsri4ZUAPbnbUQDePDVBQ6RV54bPA972sUoC6+W2nDPaKZzsVSJ
/3MQfx3EBhLEXx/EZ0kh2v+8tiwf9P0cxu3GKtYhbm+4JNkWSeP7tYUYPi08WHIX1A6yzB/HsPsb
d5XldPShkP2Opvh+DC+3Fm4snomE46HX/C1X8FfX4k+ncLA8AQBrc7N2qd7+dfMaWQzmledcxLNm
NfdML1mOrV7lRhjHGhOAj5k1ObW+tJ6q32cEpgVdsxhll/mh+Zoluq+5Qn3NGHnZMDf/Pnk4LcH5
FgLFCP4kZndSzvK6JM5bEesFQPYyjbQlQwi6UG5Rh/aSAZ69iTxmHb/RouausGCY5KnYiSrmm4kQ
MctSuc5NqcKRgHFsRE/VV+S45BxVmLKWKLLMeGfkSz55cBrSiWHMZ3XXZa+64mRryt0rMHcJnb7w
4bJxo3eAt6NiqN6ojnwRQ+quOzeP1kZVbNuJHSDGun2davskYQs1NcWbbsGLyQC6hWRf7hOhvZun
qlCn0gaSR9ybBSRXlyiL7ozav87p7wvUsEvna6Nz78ehfaQ9eGOTewt+r1P8R0BY6jj++o14/ir/
RD5YPub7+5Chx8J5wDXfxwjPKPPD+9D6jfclbyhsogtl9Id5CGEBcwWGVI9/1L/eo9/fiP5vLn4F
2BWewTtnCen/DfnA+qXqY5mHOAN4N1KBqev4Jn+RxxH9oC/UhXMph0ycaSKvo9tpkgVFSWYid6Nt
0wnqwSas2R0CfssOdsNSeulg3suIPXquTMT7UUdCTDNf3049Fjgbo9LKIj3mO5gMxpRLmaRPXAtS
5+TNsLCZT6i2hNbIomobzP6Hk1IBOSii+lFkz5jKY3FWTONZWmRbzR8oJTfT/qYbWjSzyX3JpoAb
WhrTWk5aK9PL/cwydTTFTW0Ufai7ag5bk81vkTf7bjYugjb4ILl/nVj+JbXMB3ZTt4S/d1rZPmnC
r86KqDyrY8D0sZ0caJ1/yjqx9rX4Njede5H40wrlmBpkaVW3RiueySceLL/apHr0TMj0lVZYg6BR
TT1XN4yw6IHa4M+jUo8tetMQ9PLK4Ky2WKfLxsSEn13UBKtIsolTnduvTdxddiAtO37RJEvL9VyO
I9VL1TH3pLfOy27vBP4yJRIqMvHkzwV8UpJZXmXhdfTUcY60J7+Jr9Vog/nv0kMvMLjVXjtzCnAM
+ksA2IggKYzl3hzrZwyDO1kStnSsZt4KlcGHr+L3Nkd4UJXhhFgLd+Bfj/ToWLvcNy+KyjbDscso
+8LzWkWxvbGaz55r7t6VbrDhAoiSzPWdlN2nNuGIpJb3sl7IPFRgg0j36ju/8aEPUEoKsvU6g+se
DNzDbRBoaVd5a0cUlMfqQr1gzz36wv7mOa2FnzIF0FbOz3ZTHSEgvEz6fF2zLkUNfR4rQrFNB/4r
twmgjxKUIgSs3FN72U4BEVKDFqN+/Jj8gECt4SCsVmKbmv27ihFdwD9vvUG+K8gxJcnJBeCZuO3b
wGLpfHIchN58sfd3mIiycFxM//z80ADUkgSInIRUwEC8hTY330PeyjkNQtzfWAOwS6IwLb/xGZPf
KongVRddsg00nOCrSFKDDrki3qtBv5x5M1wrP/V2SFLQF/EFrHhUHS0rtdaEJ1dWzccgAWmXqWDu
9Ca93Fi82laNU1O5Kw1FWsFKpgM+CWdFb3dy9P1p3nmDM24IsXYYj8j568OwHUm6+rq4JJzMmtc0
TlZfF9SQBtcEdkTYZulF7WLaNo3H0XfUbWNo8rkwUpzGNWRGCwnaiJpq43e8IBvXkuQF8WzbAGNx
aFsYi3jP+vjIdrkZaKFXQN83RtqXMQ+CxqfJztPUSZokugMcHj3aPy3nWB/MpH1rem1nwHlYDVZz
KNzewprlHzXG1iP+bp9m99RY4pzNiwm2Z+XA4Nj0YkAcWR6UReyR9c2bakubM5iIbqZE1jCf0jyP
tkHL/zs2o78rZth5UiIhlTkAzFZLdbg4dYkldPn7Ri4lynZ0VgfxLkPsS3hHrUdqOVJudwg5M0lK
6nZEeWYo6mJzShrLgAxgOjcnFpG0YMbkti2/5y9ELxj53C14ErXNCyoHnYSS9sWsCSzhzBcM4WOl
7xJHPhMR3fVaezvLYcB5id8+xjdaGPLU9g3Jpz6P18Srd1FV7d2+/cSmuQAEyz4E6sobFlHRPPlT
fpe3aXYexMNVwW+UrQd40bwEkixgBjtp98josx3t6gyz5sdUmgZ+l/zYyXHaCGPaeWT9/xnVv0Z1
iwX2X08It6/F/zuWr3Wf/EmOb/nQfw8K+m+IuexCXZO83pfp8t8DO5oK87jHnjJAPFnUke9cHmA+
fBPkSHh8/0tu+T4okFzxmf2/PtnSef635oQvq8RPE/vSkc2wjjWTYYXd5M9rdCJ++TTZqrlUGsDD
amWSlIC6Ckf64PZxcZnY7imJvfjCdXhxzq5zXSsZQKbWb6zIvpFN/1HCyFxNU3ygbf0MggYQ9P5c
muZaG+ZjVjAsFEY4m163HuzpTVXWOb0kGI36/MK0/W0kvPM21ral0q7dNL73VPHoTCAKovrDt31S
Zf4qU8VBEhKIYc4BwyFo68cP7EPW5DCulcwuehLDnOoXaJQUNLjTuevPO6ehMzkR9w7mQY2faJM1
41uQdKco4E3bWC8Es3dD1x2LyN3Cpjsb7PoiiuOLoJwYXuy1wK6F6LCyyvrUTOYjF7N9bDB0KLVC
PLhMjfSi1IzN0AMCoEsn1odnMnVXcdyfqF1ZD6W/s0dOisy9aEy6KoLPtgnMTZ7S/8I++DgH/mvE
Mjhx7Udy5wetDcLBabFkzzstTWm5hghTNbeqBVgdTcklCbe9xK5ppO690+b7WbU3ud+9FSZlPH5x
EUf1+eBiJ1p6hhq177EkeaJaxB8iGogJUXCwhH3jLYeYr1X7zqMHzs5GKrg9bWWo+qyO5KtV2jdB
hYUDQuoq673LXuvOYVWEsxgODW0wrafdpMF0MPTowc7VPYPExi0SYwXIBikXw2kc6fXay+tT4mdL
hr6erjPVRyGe21dvCChPq6edXzn9WkzVo2lW8Qri0JsfpdZzGfHMWdhUctNimEIcbv0m3adBER+6
smlo85ln7nWp7RbWbmgKnrsGifhhag+AVdh51H220vzqRpZddSRuP6zbGoCnAZPsNDkz8BJoAGQm
CE7AKDBDVivpjWmYO2liGHY6sU9pR1quij5SIIRY4BrzmhEUEbsiwtP5eor5luZowuhO2LrqNrFV
HXYB/PzIIngx9121JgADG1a09z5Gg410e5KymXmd+Ag2c/o5OoAWAm3ZGkfvpW9BarIvZ/jmdiMv
6laOoRyxfGbRRzLbJ5/TXRv5uFPTs23i/+3XddVLbAkCYk15bZbkavqO7PxAcjtyXFzFMTfItLLf
BAkymP6FYjdRQ9+3g4ukIQ/uTem3QIPaONgAW4YhrkNp+h/stl4KZd5TXfXB9x+vulJv8T1bWWhV
7Mri3KpC7gCkdWUE2YUwepU1ISSJyyHOj34+PtiT+mRDwHPVP5L+INmi9ZtExA8JZGsQHPWFisZ6
C0yIBWKvuacyi26ZmcAbBHLBlC85VBsb22gUT2M681uuIWmUaIb6NDYQWUWxTeV0iLRsl8L2xw06
PGNyhSfZTZc4Ot7iYXqb2KvTQQDXCBQsQin7QC/O9sJng2TW5tavGI9ry9xFpfnU1WReOKooWHAO
CcbaVe8mT0pYfHLNRtSt89CFcxf03ZuGAbg1gQFPESpiET3CxCKLQ9phNnsa6KkgsHoNA3GHZDY3
1R0tA6zuUqWIvvB3n6LoyVp2qVEVeby+rC0sEcgCwcjbNJGKmlvemkw0Ld8eaCTdnHZDxLTY87QH
iI3jOK8PSTK7fG/DsaKNYMq5kKFxYvLGJBrrF3E3PBS6fuxGH6q9Bl840bjG9fp0LmP9dhTdmVPE
d4YiTYJMERZNCpPIBnfkTto5WCdjVSh5z93JgS4CnijzcIzfxjF9Yc3Yipj9MQBv8nfUNaZDfLAZ
gcFp2KtC5xKmz4qSp4Jxk6LTkiukeWyluq4WuqdnTNk1Hb/JPzucfxm2/usO5/y1bT/+ZBQxftjh
oB0uhgbXosqI0X/ZofwwimCEwAmEHwsWNzLg91GEaAgSx4IW1AmPYJ1Gzvg+igS/Mbu4fEaEi9/d
EH9DswBB8IvlgYojvjH+a+q2bkMq+HkW4Sk6aaiC46VCi/M28RBBmQYxpEKhkhhcSXTWzVJYG8Wk
IR+M3iArD3k06Q7VDHp5GlhBn//+xEgR5GHdjlVR0lRRQOx9n7Bd4ZqqmmjedKLhyiWmZj998W4D
fWHfqrYlE9ElCxM3UvMchNnvsNz4i5xbu8KcKTT5wurOJbbKldeLydjkJqHDje0ZoAIWwEvY9dLY
9bqk3YFD1nbuM4P+ki2dBQdIo1yACtfu9pU2qP1kqZ4ngeVPW5H6sD6ESDFp0iFDyBF41FGL/Owt
gTIQBpSdaStVqWGjZY2LhYzTKogR8/Vcw2NP5PWN6YHekDnHO01+OOayKOydo+JPd9RYNBT+J8qL
vSInl2+8in8D4s10NPQQRrxyPIsF/CB/ueSJJDc5Scn9Z5CA3+hnlNwaOwnKj8XFqtGBEfWL4Q3i
ur73GxtdJAIdYrAgxgtQimPVaNmVvaQ8s8kIeNgXH9KbnZ2VWWIDZ8DetWWXbPSWDhspPMiGTp9d
SZ08Qx1AwKsGc5XX9bjxNbpNhG99xK1W7tFgeVkQySPbbwNoLAWOGFd740kk9u7/sXcmy5Eb2bb9
lWt3jmeAA3AA1+wNXgDRRzAY7MkJjGQy0fc9vv4tpExSSqrSNc1rUo1SbJKMgPvZZ++157QDz87F
KwSfbg2+vy2hH1M7gBDlDTUulrQV1rYosubgmCprOCWMz3zPJEcLWRyWEzfqYohXlOEtHoPp6jg+
fgSnyNbNUuVSDBlQrJqr6dD5sGTmmm/T1l/SPBGMYXGwqms46NzrwK1QzLZqS4g7HY7sLYzK6kqE
Ah9aMIBW5AhezZNWcVBPxBuaQqQbsMzjGnI8aDtjhD2vWR3oIyof/DFPdloKlAYcbLb7zxj3Y4wz
eV79+zHugQhS1E5/3bksH/bbCMeCm/FMoyzUEHCGf35u6v9HCmQkUnU/b1x4aOqSWc+iowoh0MHI
+tNDk3+uwkPGdWarpO3+yQBnqXxfP9muEXrhHsB7UaG6gHbB8PrHh6aS4xmpqia7zbXSMM6N6LiP
TQtJgDqgaaCxYxzZV684uT+rPnubCxKxwO3uSXVD+bI+pp6axrKjJopemKqkOLS1UcM6w7pRW2Lz
ClwhFoVc6fFp9J4ZTKQ/StnRihJQAOony62xdWO/uDRT+01ZVp+mM3yDK1ysQzYnncOKE9zacaT1
aKU78Xlhf9VqQWgFdweXFEkM3ufPsGRywUO0qbv6owc/hS1o2qrC/lBGbRMOrcZ9NdhZVnuDlQvS
VBISwK2G18FWHtN2St040e51s30JCCpsHVux0Zt0eQmiaSlocVqeWAkhqSl4J55UbBsTNQaOyxXf
yaWADkU/orhXCemvqGu4jkI9ZKr5ZbTZFmTMe2NER0NgPathe462OGLx4d92dplav3Rsgoux4xKV
BC9FI18cWLRDgaVW/2wc57MWzaWeo2ezGD8T/Aqe0NXZgwF0q/DNIvUNuwx0E2YccmszLaabKYnu
qfO56UrlZtYr341VLHWT4MlnVna2j8lIrUwNcumgGreKOaTHCsr1ikYki6lKO8ahDLax0slNFaTn
sOrUtd2Mj7JRDujE9cqx2oNdwAZQnexSTobjTgkael3mgtD0sLVhRLGT60K3nFKbUtOw9mKVagzZ
+4T2OqEyUfGn1iR2dTA8+ba1SaPuVqrdRS1yxnPFqba1kUM2w4QcJFgNMAWsxha10hhmQv5qvc8U
s3Zrofhb3mi+OxT9UbW4u/Kr4N+sP2KlvuPafjsE6j6IrdGVIt4acfGYtcbOWZTaZJaPLQ42NQue
OFK+sLAQcZpJEZqdXK6nTrixu/kF+GNJl1B5AMvwrHRdQ4J7eFQcJjU+NGXVrlRrvU/uJ0VMa3qQ
yBZqxfesUTI3KsqzMTmXxGD8aeHRruxiOHVjP6xHPF8Xa8gC3iu17cVFJFw/cXZAiul20+vxvfXL
2FOb0oda1yzZvvi5SyjNiR71ljin7UTWmveaZ0Azc23QX9u8YV4zh7rcjZrwXb1QjxAjzkauzF4W
RywKwRYSHA3XU17NniWyGxJ1+WpS2ExGul67YzDv/bF4T8YF36ir94Z+UKbviYrFUwnqu4IuU30a
YzazAB0osOOa9x05Coq3ZXyvZ/WV3cpJHdKbklaupYVvZTZKuJaUb62mrLoLu+Y9ZadDenBvF/OB
luDUrbVR5V7FcG03hlvb03fR1G+BQqKtaK9pqZxbUugbHN3eTCMRrVajCwkkQewdxCruEi4VqJsY
89vv5cLVSFHKPRAi71FVv2HOVVdNoXATKUjPjYMtQcIx0TSmYhMfM1546lYrfGUsnVL52XK1XSGm
RR4P5GOj1OM2aHA5hnN/aH0WOBTQ3slwfI8xqwC6SCBRVk26LoNWcxuDZVkmPSQNyLPheN+aFbW9
cb5OR3IB6AlinedmzZuu4C1hyzOUy3hdjP5NkdI2ZnQ+beRKcM/m61KUzr3jGzt9nGxX5tRA4aIA
EgyIONCqTdDa6QsTVYQNtz8pbBBhBy9vbDN+ppwUv0c/JBseq4hSIvwYc3oQsFJu+iE/8EC/m4yi
32GSGxlJOzYM3JwiKnF7cjPbUIV30jc6txlqe307P4S+NIgApuhu/TUygUWLGN9vpCMWAWha40jl
Y/v+3pSxzYKj+2gKilMcrs4rkYuQgq4Ke+CsfMenwHkR1tEWO/w1n4oPMpfBqkohQ5CuU9x0DABA
+3N+o3KnAxpFWsdmF97SxQxcbqS9UBBIgzEAkoNntlnm6ibGcLQhHfDROdEzHhXDHfx8M3FpZ9cA
GYXjrnYHWqtXLRuljeMIfqZ9xOJOH3ZOYGTsQwwqowsTt5HRP4ZTch04E902Rj2I8BFwsWNZlCoT
LzfbSjw6wXnFpn10KpUZ2cXAKw2xY7nEDW6gsrFTEhS3dtoioXwzC/M2DsqvUePTNUb8QrsFjVQ1
47vs8pMGzvLGMucz5z8jgpXvVE3bt0werjEJkLDUWLxUaZzum7l6ZFNbeWmuPyuIP23UfhuqdOP4
8SOHvQo8hlmZ83/fRMHFiqoHZ052ugJywULdQJsrutVkDDsfRo4FlG1V9AbKQE1btLCsT3CeikdU
lT1vUc44jO07Db/tmt0XM/o85uuypI28Tzt/r9bTu1R4MbRhLzZJYj+MOXd+21cO5CPf2Wt4QcJI
McYlAlvBx1vlbZHAfqScPFizfvss49HAMRy9wtZCKavkrdrJp4JeIb9Mx90c6N9jlSIPvdc6UhM1
FrsxDzfSSrtVK8EAASbm5Rdr7UqLJur8Zu1VNv0Nxc1YOUp+sTW0IC+EP+7FFvqvVOJ3PB1n5JDQ
bcGiusTij1FPZBndZTvNaGSdbqLVqckuDsDfRjaSktoSdK8EyNIirgn3O/a3MFDGVWXTU92zOcei
QWt5QfqzoJyTp6p8zgjSrWjmphC2Uh5YLz7WDlvFPGLbM6SnroFOHnR2C5euqOh9CO9biVLok8zu
UJLcTHUeDTLbAfF3YB7EuDOYr8Q2eT/pZLzHgEWPIPWtcHPiDUkQfCARXpIMH1GkgiUqrpIZr6Q6
uDMp8oHKFaWU36WqPCg6MXNrCZwnTkJbEvFTkYrPnky6w0nOqt/8bEirE/KpvZz8up/ruYdgZhA5
Sp6DLGPmGgno2h17ZCXDO/2hkobnYmAgCIFy0br4UC6Kegk97UZExd5f4vQ2ufqATnrE2/hBq208
fmTvrczBbIOLwAAaO3LnQrRncm7LIl9XS3h/MtmNZUugH4s36d4l5F+Q9rdJ/dv2RG/dAgLgffcd
s2dGvTyQAMowNyrUgJIGT6ocNZbMAAV4LZx1GbXr3KR5okvKe7ngB0wL+kmxIAnIgJ3HBVJQQyvQ
7PYzXvAFGhyDagEaZJ36SF/NYZzSB7EgDwbYB4WlfvQ9XCAb6YCtPYp7ASmhRB3IF3SCOiGwOgtO
oZXxl7PI3T3dqkCsvuYMIu+CYEAS2AuRv0To+C2YhnLhNTTc8qyERx9kMFYAzsAkuvAdKkAPcOK/
y4X8YBXjq55x51u4EBGAiA46oA8wAtnt3QcgEbfdxQAokS1kCYzlG0RoTkq92k0LfAIIxWhiDfTB
UozgKUrD2TvgKqBT37YLvmLhWEx6uA4BWzCCnmoiUh0B/9RUeyS6GFRpFVgAMdJ8li/TD0xGpZg9
/8BkmIXmK93OLJXDf2bQHzOo+Fvp7ua9fP/rALp8zE8DKFlKwyR5tBA8Bercb8IdkUkymPSBkSJG
1PvDDtGWhtBp63FwWf/Q9H4V7mjqM9HXsMLR2YPp6B/NoARu/zyDYr5GudMgQgLUI275xxm05jw2
zF7Ml3Lxk2qi5aBfPKYlZlMtrrY+5lNjcaH6ZfehYkuNJBQPFaNqY/opNynlcUkpQV85mzMYFRNz
K066lkhOdJFRupl8+1ZdfLDR4oitsMYmWGQHrLIFllkb6yyVChcAmzyQ0ADdOuAN2MrhXi6O2xbr
rSJzZC3CFsniyrWWIVVZnLo2lt1p8e5WmHgzRjiVAkCXKPsT/pvbBruvufh+O3JVzknHDExoYeuP
Ce4p07mm2IWDIQEcjH94MmMiLyme4glz8bC4jOfFb5z/cB5jQZ4XL3JuAj7FnJwtLmUuyrWHZTBc
tw53HpdyjUOnBslalARRO2E5XhJWPAPMjVOlHwFRnMVguWLBs8VaESUugZztiB1xY6nh4pDZ1Qta
K2gdVhihVxupthdTcdRVHnEajHayV0QXa5KjfmKdhqSARjXI+0qL5GZiS+Uqec/fwqmNC7GpfT50
KulFnuZmY6Z75OMbmeiunuet27T+WxPYDzHz6z5S9J0x+V8ou1BXjJF4pCQPYsYDV3UMSuC1d0Xo
NyuSq+rDZLMmsUZzn+Vg/42gvNO0dDdCcXRDSiW4WjaVW0SNv5dDz5CpoviVlB1GOcTEOYwm/Deo
mMySn7WW4z+qtN5tlVncORXr4tlM1qEJ1VyhE8pTWk3lorw42SiKyM5ASXKW2xjdApujdADJsy9x
wY2LHa43MMZx5sTblttjtauboPDvbQSGA1HYbyDs8cYw3B3mMoyorK33dRU8NKpc4kliZyj0fFNh
u27Czlz3wGLsPi/g1dc4wbPvxQgQx5iHozr2L2WDsQjK3lMnqngV4SZ0e7986RtbJSc8n7p8POEM
X6ao+ErWoGcjhFdpMM9Q5nhLKE8QbFg0DfMuFlhzZGBcLLqcO1vbmBFu+8aA5sIubRtb4kQPI4sz
p32bS//Sq8mjM7Ipy0x/H4gK9N4E0jvWqmhdx0WzicL83VGTM7ciMgdBuJ6V6rbJBZbV0VhXUWms
s9HcinFs1n1ie0qAzlnT0PXe1yZXQeUVyxDjS2ufdeC5rjbJ5Aqh5Y3j49ho1jdrbo6TWd7MGog3
tptMdeZlBKp+zilxTFVKYUpLHvURaaCGpUtrxB39wczT0YQ76CFR1sZkH8uI1W9Pto2QU43jSnmI
ekujaze92pGlQOGrX0ulvYtl54POm29D0y9cBipPJ5qRMa4pitzNDSNI68cVUazGcWHQrZbUB66p
PfaxS4Q3p4MoX8OcOPYoUNskm98cyaWtZRABBVuZtGWlCiWhbV+dumHeO2X0IcwSGVijgCcbnFUZ
xfdtan44NTvWbkSmzyvrKVDa3NUynzcutxUAMe06q3j+4QOkIZyfONb8/5yyP05Z7W8NO6ei+a//
R71t+tX89bBdPvTXwxbULOWOKAnsw/DfGPzRr4ctDbcOKFnOYfBq0Mt+35LRZof4CvsEJRbP7WLf
/U3wFT868FigmRQo2SYbuX+wJVuO0p/9OhaNeZh7SVNBLKSF509HbWxbGN1yJ77psvVsWrzut0b1
/JMEfvvLZ/uvvMtuC2SW5v/+N3+Tf/FVuBqQijYNAA4mP4OfWR6VjyHYnM34pi3iKIWVqdIx6gC2
dn1dJOtYb0BCib471ZH5Ss+j5vVWfDs0lnVLUHgZ543+6JiW4qkcOuQQkZBTLVJdlf7ZQWT7rg/P
0VLU2mkndR6uzSTOFb21Y61fqO47qDHvwWyptgXL6mysZYnkw2LFLux805BfoERxw43bhBk47b6T
4q0BfJK7WdU/enR9Pn5cqnUnwpLyMChztvWH0fJapcGE4Qjm2G5mN5i0ORgIYTz5mLS2JE/1N5FR
A6ZwDdpGahLKddhVJTTcqUqei0ID4mPTV7ULHGpn9ppOlwB+RvtGYtLBYEdzDmhrm1R0q5e6/TSL
SoJvE+m2VrBPbTWyXHPllmTjrIpbdEYYl6uQqVzsSihnPn9JKycD0EKBKpR8a+Px83h8IdcufYa1
ZUc7PTWSQ0fc177l6zX6mzkFVnPkpO8LlqU64l5tjrehRsrVwYl81BqrOkIKC16Xi+Zzj3kCuWOC
OtDmnbEfJgNxIirbhk0ee1fJ6NU4jwWelJWkIXCtdATeRDmGbtqB36yCYNr3wmQy7zqkS37mJ0Se
5r3B3j1O+Eom5PGVU0V7BWTXGn8cKYy0H+7Avh1idUrXTqE5d8Fk8rCOKbOyJzTaoswowUgMry9o
3K2iZzszUcPmrPdkFc3rmqgSAhdu0hHrzkHOXbi2MKpu2zbV3Bx97QZFS+A5qJqt1PtdWpM9VsdR
uQRYS9kjZucoT8/U2uSbrI6uRmHubYLxni/THe+WxAt09bZxhvtWs/pHsFX2d1h5ONITTw6j/F5E
nWdmjZf4lfagKt0mkO1GEUWydhiaExuf6Ih3qZHlt6Zpv/Ko/pri6Ymwh1fr/cEZsw0PDxgh89YY
1fNk9+BsiQya4jQz35Nc/gBYjHFc2aSDxpaR/qdu+gR4znbykzCzRsA81dnV0ryemP2rKaOPdJbG
GvWkOeAZDlbKMJ9EJvB5ibMsO9ieyWvJr69pce/ktgVSVG4CYe86dX4d/YZosi9WlVqtdBq1KLfP
1X1sgmnXJiyovKX5O96RDSeUHM0BDnGfZpyeUG9oSLpAfHFt07w5D1V7DMTIi3kBwlbIwIlv8SrL
pqPDm0gtLArUaqLD9snGA2iMxbNCbi8xrftOBNe8Kk8W/78Xzinr+mvo4E/HMyd80KhBMK7Yu2ir
OBxKt6u5tQa1epMoyVuRaG901B6iJjkWqX0A9XydB81LqREq0vRsGmhCaTUdZ8ti484q2KYUq0qs
XeeYnlNjTglHBO15YBUyT/tqzvMDtW7fssm3QO7moBYCiLfmqCfbyinJrGvK3Twp1ebvn7oE6P76
1KVq8QeGk4GN//7jUzectKyZZEpHSJWIdZ86E1y0KfEyPFKnNtMHz+rpuCrCjN34/KWVVXOtqkR9
sGebFd043hHzP6mj7yWO9ayO7bYK5fecTKNXlkAAg5ieNzz9m2LmNU1ZOV1KZuMO2A5WRtULz7Lb
HUU0H5TzdW4UN08ChM4aGBmpbpW7ZJq7Q+U22P7KBE+8n2+1uN4Ko79NBcu0zPo2pdk9TMpDR0nT
3KSHqoOYXxYnm9Zzrq4TvSNTtBMjVOcG64/0KTAJGWEChlSvUZs7Y+qQmEJ5UEP4skhFKnxK5MC4
Hh/jCGORIztQBZO4GBE+xEouBqwoOfcli8Qm3ieDuTWB53lRWu39HKtqZxO4R7zbkLldm0F5SgP6
sKxcXKJ0OKZdRjm6AFNZwqwtpmaDInhJ4vQO8hjG9xzUhswVsOnLXa6ubxHJey9D4WHLHz8akwGz
Zoy4LFvIjryYRl6gNrGLJKmWPrCtVrKINbRXVCcv0yGWO8Zu4DmkN7RRO9ZJrdSeeUv55mtyBhOx
SMi0MiRppu2VcnmWtafIki9CTTeqip+KxqLXKROaGzdTsjbC4KLPNNfTubHUPaLXUynWPRVI4Ufy
ZfU5xa+w//uX6rJT/tMlRMIRpFKUhjmqyf90PcAKP8D1zajmYiDV40MtutXffwWuSz99hR9t55iB
SN5QgUJycSki/vkCokvoTLYTBDepjFeKvERdRHn7XT3EvBJSN5LVxonXf/81sRn9L1/1T7v0rkza
0tAV5QxC/h6wFEM+/0OYwwseHij9yHosLsxn6ev7vqOGtB8pt0hz4Ncqiqib1/NLoVgnItGqiwa7
SZ1B+7BDw/IyNX6UzAFI6NPRSo1XSNnjQUvJ2/Jqyot1N1v52i6VytNKIIVo+dO+Gy39o8jjdsOa
TQeOEH2mvFbXlSpDjyfw5LUIQy7GqfvOSGfiJckjeQmxzwJItyzjiSLsOJQemrreyGZoYHzEO10N
FeJN3FDSIc/RyHErVvTDefVgYpSJxjsR5uCeoh7jYcDk74ClbPrvVcOGrimjfW0oO8JID+MMMVNN
DiaeXFxRXNYiX2cH3+IhkJ25T+b4yJ7ZyydfeFgd4V/6CU9Z9blXWaJGcXa2w3Gb18O692dewVhk
2yBzQxxURZzZq3KOba9O/XO5QKmxPmsFLH07GO9DnOKrkXGva5FDdB3/4czWVCkj9KeueJcBjm01
u1YlTTK0m68a7dCbvYJJSt9ZRFq8UtMe8yncjT7Fgn3d3ZSSM5Iq1D3unS+S//QKREByTWMblMbJ
GtJfjIqf4/8EX8W/uGX/YB3//i7662ucaeLn1zh8bgvNjFdbfMpvsVJs8F4/Ddt5b+7kyebocT/F
sCIac87fhuPfv9YXUNG/eIMhALL9FJbmLG/An2h99DnbeYKwf8bGu8pPwi03mIC1o/JsbdS1+nhR
3NNzv2ay7t/5j/RmOqmrQ7Txb3S0/v/lu/njwffLT0JXBUefLhmhzD+FECZ1IFmlxeFNqN7S/kOD
6HPd/2Jw+rc/7j8+s/76NZaR56e/8FxnoAXCNORw/QrqnTNd//4n+i//DhZJS2txS2Jk/OPnx4UD
sT6qOLyV28rh/WBeg/KXJ9R/0rgGL79/b9K679r2q/7r1L581K9TO3wSQzM0dqK/ebF+ndr5I8Ck
dDzzGuL3sgy7v8Zs6MTS0MzthQ6oIaGjuf8ukQMlkWRnJZuiH47YfzC1Qzr9w/vtB5/EEGSCMd4i
BPxlbu9Zm7eV4kwXUzrNRlVSXAQUMnUnu4XCWznNNR4DCwJ5PKJF9yYGI9PPSxK43T1Wrq1pJ5Tq
1XO3ikLVPI059oc+xvDRNcYBjBjw3EmnO15rUWgLYokUNpdXQaqSJthWOWZTYG6buHhxZi12FVP9
zCu8FFo4X7OooKZpKFJPKXsMWoF14T5JxLZAeg1Ki9rhAsAycGwd7EhAnj8TV2qrKDTMBk4v31yr
dWjuFIt7NA6eZq8l4Je4qeUmM2VyR2rya0iqe8zepzLDul9j19zHozKCuqLdb26d8sKi+E2IRcDl
s/jk4gzEWc8QZBVG7uD+4JxVXOg49VPMk/1VTeanrCsfnbg6QuF6AyKwjWkUc6MZajdpnxNHNi4L
5NK5tL/NkKHJLySVa4v+OFlMEOjuuNs6tLaQ/kOHCEYS4oAw7QLsRQMGpjrT/PoSRxkrOZiRbhRm
VD2Y08cciRuNpOh6IGIShQGbyliv7NtGt5Vpq3RLyiLk6/kqZtIKULSt1eu6LLYCoV51hq1QAU5r
zkar56/ZtqO1afXEovFBWcz3q6Yh15t3oNOMLOYAs4cSWwPL5kEYz2WXnjuFBXjFXN6PglzE9OVb
ck2Ghg2CH7xzaSF5EdCpkpi51xpzsdHUln6hVNz69SRhXREWLOPyGtbzu41njAItAqthWki3Nkin
5rJgvG+f4ri4dmrG1CDBuCzdLXO1odCUtauebztNXscheG5zyMRt1hyDuk29XsEgZkterjbbHZIK
QetZE5UtVppHdAo1mAEDUpVR5ZA0jm/RcSqWFfLoD3btMbmPXmtG7wSiFzW1eLdGzEzNqERQ7Oiv
BspmEFVOEkw6Bhd7shYrVZtLbzQCg9h5QOU3VDJKegQ34ezcgjBxuas55KdmCt8qGrmhEdECNFxh
RtArovurfMzstUlBZCbFjhOKMTRwLmPe4BBThOlaobZXIX+uZMksYg44J+N0vBSjsq8LoDtAhj67
uHuOM/2jnIbb2OjI0QbZFw8rkl8BvoXBvukHU13Htl2v/IaqHWdqbpGIvlG0UnKvClF1po8hdm6o
Ab1HpqCd2ZxfU7IVhFjNYGObcbwpA9IkVM29YjK4ioAFNlUHX/FMPTtNqtu5Y3slUkUi/oPacYLo
vggDktBE/NcsvJ65qz5rdYjzriebrsZvxHC5MrVFuyppd1oBjj7DDH6Ka+WoBf3BdjKuA6NJ9Qq2
OVifLo4Ttzc1ZnFHeW2rabtU7RV1BvXOwpYSBtZLO4Mjwqjv7PqSFVaTOdluYAWAcccxLiIpbJbR
5hx9+3Eq/Od4XAaVf388nt/riJql978ekMvH/XpAEv7QVcATnGUAZH6ETX87IAHHQMC0Eb1JhZAo
/e18hJFJ6kOzKDfDoLlI17+djxaxEEqXEaF5t1hC/iNVW/8x0P1+GeZ85IYG9Rf/so7EDtnmj9cn
Xm6JsCC9XTKVdPY5ZCX7NmpqaNOpmufBLSws8zB3lXyToTFwf1NykATDqAyv9Ww1T05oFPeOE5kz
ndfdQC1qbrXPjd5pPg6g1OL1y3bWiJSnUWAAwhxpuKkQiStGieOEh1mgXboeiHQ6vQ/B/C5Cgk3M
QrKxM0qt1a1Is+giJnKTWiLXY09/h1IfGETg7zY8PdHuGqxi03tSETesyKKzwA2W8li20hMnKrgu
e6l9ZRm61K+ZnbM3grpe9QNlBpm8M3rzLouk5iU6Qoo/3tAlFXhOr71XeXVf6uIttMnpF349bCj8
6igPn+etHTmZi+yLmGKY7LmsU283LyID/yvz9IT369iFlDJVPigto2E5ZtT46LKhpLtpTu64JjxW
wAfPes3id84NjT0eC9salwwdQguEIMWW2OpovyPGwFNODmK2yhdMbqQqNbX0OrX+mpt6It86pjiM
u13axFusQzstab3SsuLNpDiuYYDptoXY0HnNYRPzM6h8DXtdb5u7KOd/Gf3YrXKneMrD5BudYVfb
oEqjTD+1JHyQBQvFto2Nk8/SEljCNSqX4lDTCl2AJT7mK3kKFlgO3Le7UMoHo4YEzNj4TRb5cUYV
LycbVVK1kUFzy2KLXsScReORhKfbclavjCLfphFGMGF0eD41OJJV/hTLBhFIDtFGG6O1LNv73JSY
mweel6Fqb4zK6m+6pdPdmhq7XdXGvk1k9oR6PXp10l3nHoaBqYe41olr4jSgtmzqHusp/vA5FHYy
5KFuUilHvekzZo8Xyw9cUWvv1OmhKC3fhtrfKZNNNfd8SfHCNZHAI4iXbCpu8AyfUie5nSeJscKh
go2qg009RjRLOEm7V8vpiMWe6c6MT4XgNgJDYRUq9rNCP+CqNQcW2fHou0q9VGEkN2aZXXSnPtKw
c8s2ulq1C8kjsAzq56o3qK9eaArc1ykh3cI6lL28TNGgc2vojoqDQtlXBdfC5sGOrQ+pjOdadl/C
zx6a1tprdNfHfcJ5GlpwkVKHuq+C3wORlm8pId6LmMnz2GMK+SCXF/7yctUO4UtVg57R1OwifO2W
qXwDxeyD+IFr4z7EDAkgIdOz2wV4f8r18Ghlbf4cSiYxwuZipah5elQoKXDNpaMaxq0knZy9ExBK
1iQHrlrjv6RKMbnk5GqkHqzl9nxK8/bcaQlbD+N1kNk7VhJa0fmiA3ViZeSl5KlDap6bVN0aOvbe
Eu42fUE0m2E8zw0b2yo0T0MkiwgISMYMD4RH9WOk1fm1oWSlOYy9tujPec9lBkis41QsBGL7ucvy
FNU/06CLI8ZuzG5Mto7BFZUYslwFcbcllSFux8k4MHpqNyFvLpffuwnfH66m2df8glprfJ6rPLir
sVgcY4OavZYfw3pIlXSnAeugulGz9FVAcoAQqGzDXavoxMkQgVLCZqq2UWI/Wf3nqP5lCY3Q8ndH
9bev+l8c1Bof9dNBjRTCQagJ01koTr/vnyG8EfdhA83ukVmIM/enkxoPlmOjPeiQOJlmfz+pYVZL
iFL88qXOmf3PyFKG5DP9pBz9OKlty4IiB/gfiv/yTfwspGCpmRrRasHF51FjTVj02wb+ejrVN3qb
PsMhXJWwKkEaTwfLn7JtngWI0N1igv4ylJ4iTsdkfgBWTTruOMLSX82EgvKwJ81JqmFRHsmb09li
Z+kTwW6m08hx1lyTP7WOIEVrdzdth1dH619lmn3XqLUzBUos6fI36TDHsgZ7QpRWdzl7iCAbfNfy
F0d0qxWbrkOjiRTifpp45WaQe1VEkhN/PPlARRobCJ/f+6H50lOTxnd4UGu7iCHt19ylk/A6Bvn7
rA5PylJb7cgAW47JbjLBXGVKxfQ6GucpIuKK3VjFB5f2z9CqbyBMSoYA/opd3YA1KLVbJeUYSIMz
xuwjmRF4brVJ93Mkbrno36q5Pq6iKG3pLcW2nKKTb6UBT7lvhk+/iRs31bpolYQ2kcHQhFWnxg99
P93CqWPCUakUaHQq/Gi/um8yvC6ZdqUBs6Z908g8xZmPYeocwnak0DVUXWsIIVm3/T7QIDgHBdcc
mHI0OHYmraNRQ61kqM6PTVLkO6cw6a3F0wpWqtUPdAvEGycZvxFnnQ5BH2qumquwhrLY3uo4p5jU
9JOstH1l2CWoG9+/TkqOS6Bqnc0UoAs7aUa3jRJJN+/y8FpIZVssvUmRxTqmepvUct42gb6kd0PW
rIEF46A0NhbEu73hk6KVub9p4YCucdtbtMpmn5AYMlez2ECmipGt0xyZd8z8t9QaoDLX5TlKysnj
k8JnpgIqjjCiqXO/jnytXfe5bA5CVHesMEPCNf3oocvwguxgG6oNDbo1xhw36ObPrlZ1mAodiybF
YBpLcjjhfmHtoljQWjrZZ+BVjmeP8qvmwrGuHe0mHzD96C0vZbaToxf0WBzLAHeFpsj7PNTfeiuJ
qR/DqdDYVrprm5FKqmC4VybUFZ/9JQj6nPw/+GX4azCpIEx7FfR0qLO42I3U2NHq/erE4oO93dZS
xnYtxuasUBnMz5kj3Rhybw6rj8kxljJLq7K8vHHklbG7xSY94wxhgF9qKcd6oqZ0+Eqn8HkMeM8L
sK0ciMzdE3LGpFNvSfjpFUpo4/k2DBB/KcGszOlpZHPMjg/Q0UiwzV4qMwvQ7W5Ci6ZdUKc50KuJ
2QHW1lK1qdFEeaSer8KHH8aclfnDTDNnLUtyVlR1dkX+PaK7U+jhPhf2EQovvrj4OJNoFKyAQyU8
q0v5ZzERwjU4s/dZbdypBflCjc+7qcjE2Ut9KGvNPQVpFIomfONO8P/ZO5PmuJE0yP6VsblDhn05
zCWROzOZyV3kBUZxwRrY918/L1itaomlVlnd69Jt1mwJYiaAiPDP/fm2oWmUQPM7y+UaRIF8NWFI
D8S0L5TpWZfjikpyziuia+Sdensfzy3lo+HI8SJx2vaBztoexEFUmrT9KnVxYwxdc89QdmDGrpc4
4NWmr7dG7FpPYVpY+7Yps/CchVno7pAGzacAkGpwTCzwfIJ927LzggeNGfvKGsm30DyR0cdrJluT
zMUKIEbmD9x3K6tEMOMufOzMbjvTN7LA8LKN7DlgO4rOAwGHBEkRXLnzjKTRtT5lPLMPEvCc2SED
I9hFRBFiXk9ppq+6MHkPa+eqtoHvcehaT3FTbqkszHyndK5xKzAZ7+8rqyBOIu0pQX0/ex17FHU+
ewQku3Sy/LJUn9ksU0aVD6cEPKc2aJnftkGzrehf5l4LTlOq6v6EkkMcLRkXeTho6S4vGHk2Rv7s
FH1EBK9DErPjQ5wm33R34G0wUuarr/NqKheza20C0+Q5zAiQOUp6C9cC++pSpFsZYc3nDXPDjdK7
p1CzCEtNybttRMDmW0bDBg1oWbzSGD2gbeb9KusrMjRiuBGzMS6jgLdfLUS4zo3SZRCITpjo8Qpg
/AfIf2P0quaLgZy2blfXcWJBC6idQ0C2tWjUmBMgjFIiqLdVpF+aEW3DVqisrbqmTtDJ8REzRBLV
pYIb1S9U+yFx+5dksKPNMGYXQzkWC6aLFwG1hoQ9iU7Ep8kqhK+39r4MEKC6pFzHnrorG/dJBbyy
MVRiPrZSaIsOQmNuxIZvMS/OpwzWtXPDeYoabd18s6HvrIeZl63htheJUFDRnJS+6WkkI1Hvzdal
HzuOoNrVzo6WTd7PMBDTfsaUFN9kgXiuOmenV/xv7XToC+U+NfiqVZcwPmc7Xjf9WmjhW0KPgTUU
u0Lhp0HpvhP9ey0b7ULo0ebf/eQf+8nfTkak9PMr6MePgxEJKgVMxbj+Q9/hR3/qPoBKyQfoNj0n
jEE+8cd0mk9URHZseqrEm34fjDhfXE1qNdj8bdOUxSn/ZDDyV+HHcYkNEFQw5b+Cv/Dn7SQV0pZt
K+p8MkR0XxnsdzL060VeVkzCZ7F2K3ujcRNZE/Xoo3dPHx7RgY7SRTJGt4lrHo2i3YkkWVW9GzRL
xxHgGUNeJndYa8Ej6upVqOT1ruVF6C2RVZVvOkw8GBya0XNODHoxUqapQu3OnGTbtKx5AjH3SoV3
uCw6+2ZI5dS5n06elUFuyI1lGZENqsbidpqUe8r87ogadgtV551MgcfOVqZTFLt7zlXLKWpe6pnE
dkr7c99aX/WUNI5Ll3Pf5MuIA+UiaKV/pabNNcjfp3pOFpGurQMTXiNVBwZ72/HUogYQGRyXFnS1
JVVJr9Ug5mWrYsbyRncVqi2t2EVEM7xjOwgTijntBtJ/PmTICw2ElwGQqNOii7lzfGzxDmRLKj40
piF1Xz5EqveomA79sJlxlTL+aC1xn8YzEMhkvmuRnPpOKy+1QMbWineduGZfx9deJ3ekhjgQU9tp
YrpPGzSAon9Xa7akqjKhRhsG/KOYoL2ipO3CyNJt1Si0iUa2r0wF7C2dWbvFQBp1rZwgYVQYK9qB
jFQBld6rE8wA2AcFPJOVm6awuMYSIrrqvERTuM8NYKZ4txHJRzyArs4by9h2XX0KMjqgDFwSJN/r
qkSeQOretBatqgtmGDujZa7QWMd2pEzLKDg7R3m/NtXgW4pCmGajspAyfpKPz6HNiIy/E2nJw1Ym
214JfFEprDyrNT3Gdd/ybiUYoYGjpQ/MPWIeZgqiNt1a7yL7kA0GA5e8vokaTIp6K8BL6qHkb3nJ
cq67LWHO2W9setqz3kGhEdoG1xEpWO7/yy52eamaO3D790wXt2qn3w89EeUwatRl2+gaU3k9OQC7
YXvn2RrpBwSAoE8URhuJ6dPlG2wmTVMvy9GAP6bL/WnaoyaUODnCvUiZAY2V/syA3gJkOsUnAj+D
76GzTK4g0tnAnJvizLeG/NvUFGu9j78WIfMUj0bRMOL7TNBZSKVRJjuKP97u/3N2/2m2btG1xNsG
XhkpJg65Uob+8chZGmOfQq/STpm4S81Xgs1/a2n6xSU8TtuGRHxodFl+Gt9PZTg2SWybp7T51qXn
qbzNvcO/a9THGiW9Dv9b87h5fqmfxVveFn8dUMg/+V33YEyvYqDH9gxZR9Kxf1iotC+uzQLx/Sf8
qe8TfPcLXnxTxXzPf+mscv9dqGgYId7POxZbCQQWENn/ZKEyfzaQfEzw0T3411kqAwq8Kj/fhJQv
583Mo38awWET7o/LNetHsiqhUQtnbNeNkjbGYrTM/nFIxEUJoXhj0ziItzIm1z/h2A1yV7sOQ3tF
ZEoQf88d3mOxcqG287MV6DN26vZtsCumz0kKkAAiHgw5+4gLMQJCTcltyVz/kgdllUDSo3hoNajQ
D2MYe1Qs7c1ae0/H6X6AweeYKYRmOHmavvVizlNeIkA0SXBfkoFtQhDPlqNqMrSQ23cT0l/imHeD
rTylvfI2SBSg1G/8cWCOjur/WmEiQD5XLlu17zhRMeYeZGFi79nfZOB+iZtP8zMHBGcvMYTdVNxH
kksIn9AuarboH8hCCS8MoeGGxzDe2aVxzfD3aAA5nClFmvKzrZUDnIz0MvfsNTXOD4J9ecB4Psqt
214iE9XkfQrNEo+nfuXWwDiBe6h0XDd3hdJCSJHoxS6LMqScjOOwZ1TLGkKjCFtr2TpAG4lYJb6R
0ZetSqTjXHBoo3CEN3CQeCultZulCQMyjUxaszAWdJ2SXFtapi9H9g6LZKKUWYtRlKxCMY70JseE
dpn1py696zO8koIT+4LYtLoh6bOzVC3G/w0bz+wSa9vRyZze56HihEe9mcVDAr7CW2SiYl3L+tkf
DZu9Ak0BhJrddyrct2PUn6KWLYIhENEZareN91TLEarICmIWnpZRRmZqwZoptnZy1Hj0G45lpDSm
fF2aQ3EUsx7fEWS7r9t43FLa+ZTypvYtTKunwUx03B8dfOzJvfXyYWfgOQH30G2ymWQe2vGd0gUa
o56BIihwDhvIE+G1MKU3otHzU5ODQFX5LHEKHsdoKnDmxQQp2VL4SZWNZ9gQzcrthpIm9P5bg6x2
4aR6D0oieiu1aPRnE8p1jDqiuEVA9LOj50WxNN/x2m5bk3/Y6rWd3VR2RQVL4eS3qU65WqnFVCOb
5W3htsu2tZXFTC8P8DILshvE8S5QEjkRJN9VTKdBdujQTDH6QvbqWLE+MBqha2eCC71vJ/WZWhS/
ioZ76JpsUWRDT0F0YBmaHi1xo6nsQNoMT4C/B/AJVbCM3TbfjGWRvqSG1WyzbgCJXrlgxKJx25Pa
I7QASnZZE7tbsBGvrwbZJRSFBnuEfrpswEghfymIMEXMkyn6ej2qLh4IHU+94s4AJjSgKKk1zqt/
16OP9UjntPK/16PjW/5avMS/KrySf/DP5Ugn0YXzy9XZs+Bz5kd/nptMVip8ZB7kLUkEw/78n+XI
VL+obB44ybBP0g255vx5bmKlYiFSCVsj7P+Tpciy5VLz32E5/kjVgg1NGhZ6tEcB9id3tEOFgQtz
UDlpSubznCG4mvNbMBDqSa0MMoyhrglwrOspFNlGjcv62quFcqU7PcYhXlW5wyrk4bD1gJwvQVfU
Dyh3zvRiKcwv7SgQ0DmgpSeVJKjrsJRDGZGEGmtuQEbXixE/y4bet3HVl4q3rjX9a16m6ktYQWav
9LFcFxG09gFn36KXBHc6HseVIanuXarXT+UH6V0y3+eot/ZD7uyTpDYWA4REK+Jw1oCK7/Tum4DB
teglRZ6dNzxCuasGMD9J0rxwrBWDuv7SlRR6USfhypNkelYEVktJq69TrL80YC+Mie56l4H5Qpd0
+5kshd6OzTlp4DvkU5s9MoSebjTtITYb+vmU9DKuwgjYq3eVzKCYoLQcJxULgcuIcmAS0cRQjV0W
RLMlqO5KEr8jmfysL/E+dySnXxL70RLVVWNJjH/N4J7BJmz/viQcxdeinNgaUHkYeiTZCgOAiUkj
JP6rtC/Gq5nxKRwoM70aKREoZJuAJ3sFgo+KgXSe4zWjWPoteE9ltHTIMoJa1hIAsOUIDNbbXSIf
01uQwNKCFJmXwY3FZTd9kpTqihs73+V1TzdWQ6NAYCvuMTYHwge8JY8p3fVuftSqLrjSuugxiyxr
EeX2c1gTaBho7F0hEzymWhuugrZ8Z9wviGCHhyyIBD0/0ylDegbPId4j2L04ydvTJBCbhWM6vlm7
1JdBSgM9ae/qvnL2pGU1v0+mmygBwo91a2NG/IdXo32OVucuzA+aHfWFA/+A9oNzV/c44o69RFFM
hkOPBGjJs2U1aIokv6Rhix5FX28olyyTrD3UlccAhhuNFWSw13VlVRe2WRRLpaAaq5YEKnfuNkaU
PcljWKtypISo1eyHURiLrA9JVpuBe0lDyloR3quuNAc7EVdF190F7ASa0iEKoSvl5aRAxdJtYsFh
MW8lm20hOHreqkkQrFz3rVXGizgjM2I6hyliLXKSaFONExulec3vfHKn/GAJeH29cmFp8UFEqHJx
ZwXH3EVoF2yc1l1EU+M0hrSjZTvQvdu04ktyI2byQ0xuInHgNaXuc9gNPIF2fBp7yinHnKG40vaC
jH7la3a281pr5dbs4mt3MRCoor7g3XZiXi1ijbtmXWKbVHtOfaGuXpccBaMy2Tm9eeHRSzdoLdGI
lugAwuWdS0GdbnZ3dq+60yL1Cps5oWfvA3d+Lyvt2pq7ndO5S0OIld2Ohq9G44WlpD5I1+fINjaw
uldNGJaLxMJQmebXbqG/einPsMiMt9abrk0QZ0v2SsepmtdKavol3zGZF0pJMOcR7vH7WaV+LRAv
UDVvMethcEuTXd1FZzbwJ+GyE01CCUfbOqIAusDlQZ9ciXy8nKrJ14mB5UG3VHDqUWSFqS7dOuQs
RJls7WZc454lPqXHL7bbwZAqtwo9ISkUtaksTnmpggynI1RrIccnXXjWMUXGfbhlWV+KQjkwpFvT
a4uIylY1Hf2KRwTbsB/U2hLZzQ/a7K3O3oqgux7Jliauup0YHsZD/tViTNPMxlIzuQbyhRnoJwaD
N01rr7EPoTCP1+bo3WbJrC+x1oKDgpUhTApnA487kE5g1L41pr53CkEvecOtmWL6TeQubZdCFUjf
O/SU7TjXX1Wtxerg3th2+dWNmuuwn6468ZpP5VulqgRBRw1bLGcPu1w3wbRMQ3MVAUwKjejKqKNj
0RvXmD7eNaVd6DUmTTj3papuFa/fuo2yVqPsJrGKQ2tpd1iMFk4AE8K2ylWggAhQuzWP4mXjuWvN
aPZGMHHBahWWfGD4MpdFFcCtN/WXoSu+8lcxtqU9a2rYtfEkcXKJBn/KQTbmDaKQcgFNbDcrDile
/J99na4jer5BWAaVz6iWfaLtbPS2fxBd/tRS9jOVzo6JO5haSneweG5zIBfqKLBIWR6xt/7rUKsP
RZ1cUwDAFGLE9dHx2SE95u3WaS3uToe+sP4qL7KLkqhar3Q3Wexs3TE4gZvf5abY94F2jApiJnkX
r0U2nakiR9AfFuXgXiW1dzC08bG0ZdszGpnuuXdBbV81dXPKG+u6G3FsuFpz00nUG2ylhfSH51Z2
yKxwj3KkLgbmy7V8Uc3F1yltL/SabX0JzgC1UBYlN4Pc9OSMGfK7upz2ml5cKLCrTkqADgZ2Obtp
wND6GDr3NYPaeRjQ5lIWngRiln2XtIJJAHk7YsbtI6hSnFMA5wsqjGLt1aanNW+rr2kd7VRdO/G+
Bfdbpwi6zQWHF57LDHv5rGqPkdWUa89IbwUeYqTVdJMa2pmGyARXGdpdMRhr8vDbILX9QVfEKp4L
oHZMh8Ih9LVJX6YZ8b4oPzN03CTBuB8BtZUK0eUmeW5ri5E8k0FcScxoe2fVdeGqjpTcZzTKGKPz
RcYiQfvUtqc2uu+tdROrm7B31rE6rtDVeP80TKnCcV6PIr8ARndRt9Yts3/WGs6beYNPCiCLEg3K
PtdN7nXmLib6qVbsMqU9zlgVm7p86VyZxAQzEWTjsTcRFYXK8vfDlvb8x17wxwj/X+Usi2iPLqvI
Zbjnc6KmHeq6prpEOamCQXS6KNJrhYHO7y8iY36ft6Hkh5ANDXp6DEks+lGWw0Oh2thYlNPofqsZ
5naPY0FxzVJAj/79lX614f3xSvJf8kN4pwjAws0BV9Ldy8jEsuRoq3neFfZ90j3FuNZ/f7lffno8
TcAPMGUxIPn5cjqzaTfIivDcK09td1GFL3n28vtL/Oo3YrfMZpnLEDT5dInApuTJm8roDIEtGTYd
rQBZhMgdbmL0f739A/rxDxRUvgjAUei30uRrfzoxSD+DPqltfKaBEtQMOOpwU6Z/8zv9rJB9HEt+
uoj8+Q/fUhMorWUHXCTB1drWh8SLlr//1H7xxfx0BfnzH67Qt3NL2wdXwL9hE7RN4VniBfn9RZiI
fb6tf7rIp6+mTKe07EUTn0fFWBBU9uKzGTe84B4tTLbNSYdA+Psr/urXQvCgOYz0jwVa5OdfK41d
EQM9jM9OdUUfrV9mOyd4/+fXgOIPLMzgPtA+h8vhQyq229fJOW+iFVRTJy/8Ibv7/UV+9dEZhOBw
cWsGrLJP308xRI4DISjh+3nM7UPESZFWiIUX3CTdhYmxYwiufn9FeU99egfxivvvFT99WURyifBr
E34pxjUUYSIs/83LQLY8/nAJ1F6M7w7dB6DXTJvn9dPLpylMEPujJs7JgSnijsXzSLXeyrqKri0/
X8Vr11fWv/+tfr7kH0/Sj7/Vp0vihBMjpKTk3NtkdvEA6x4vhWL7+6v8+rPDcK+yclq29enbsmfa
vluCyeeg8nwdawy5l99fQX76n78dfIzcbZDhJCPu5xu7bHRQg42SnB2OvpOrs9t8ik0aXpLkb36X
X31iP17p0wuOKV9RYy1Ozpr1FrlXVnBTzX/zevv1JeC8ax4zB4ovfv5lYi3tXXMO03Oen/DiLkZg
3Hpn/81S96tHiJvtz6t8+urTGpj6FHKVOH3JFNgEyqo211ba+Wl7VtJNZv3Nd/SXX4u2DeYapooB
gMn+5wYw3QucUjhFdm77DYjlwV5V8/Xvb4O/3GifLoGW9uNrO+9DPtCoys4DLFVNCZdTYv3Nx/br
S0jvq8qGB53t50sk4yiUjJPWuclelBlsXPw3F/jLrczvQAqGKaSF8PaX8Q+vTociolmc2eeJDgNr
souh6+Te28dn9W+ISVIrf6fK1i9vr3+dEMo/9acki7oqeZVEfGFC2A4/+lOS1b7QFWebHnoob60f
JFkDnBc7YSzRJHzBU8oY/ncrC85oBssOsSODLIPqmf9EliU2zz3237fdhzPaYUxJhIomBtI2n+5B
Q9HRQqo0PWkq8OE93MhS9eNemApuR1rbWHZJ1fhdlVRXdJstO0BY5NK3426nBskml5ZYKUG17j2q
DpTHuL/VDLOGFpgV0ddAuuTslqHGxMbVFx8WuhQPKX0x21K3wGJgtCvS6TQqWc9+RX8OuJF9+lIu
Ssx5uT2Cd8CuR/vDppT+vc4d77Eyv9qlc10aBX+BMZfbcLQwe7jF1my8qxY7YF/UsrNOoCFJr2BJ
+vIuwD6omAYhGXUC4jNqJ6Y2V4MAO2hL12Eo/Ydj7W57u6QeJYVQbeuPpvQqDsXUrXrpXyyKql+x
mUi2pSFAQtVQw60iwI5YRV+7tGqXuVWmmzAlfzDLJIIhMwmEX4knDDKpgJuCIzBjMwIMuswyjDLV
EEUqXXsy6dDIzAM1yOG1I3MQtkxEFDIbQQ23dYqxzPuhFmuXExGKSmYpIkIVhUxXBDJnkfVmuoHp
3qyjjxhGLxMZOtGMQGY0qOzCCRgRjZlkggMbCWGOROY6ApnwcMua058g5Rny78ireG86iq3tADIq
6Vof0kU/Oan2TasMc8mAceFUSXKM+o6ZlYvJHVNKRDHrwgzntWqJK5OC0sEfpwJKYJ2+4ah/oCLu
UKhYrYUzbDKclL5jWcfaU44NTCpK2uKlVWYAgfN9qdePupIekgG2WKWLWyNkeNxKMCuGRT10LikS
wRsatU6K/3yCbW8YvUHZrhUl85FmKOrj0mGVlrSZG2YfoGxHu04EZOkClIfR1t2VmMOXeeTVG6hF
wYEblbSQWSOL4j4kX+sF9bmWQaeUQoi2WRrRuOo04sGyQXBsR8CplOlhFUqIaiPfA86/bO1BLF3V
wowaQioHSo2ZmP9nIjNMyC0Ohyg/VWUCwfJS353NfjNFcb9URxUI+wBTpMa5PZXgsVRi13Y8ggq1
kK/jjCoGVehP9qgRMZiKm8GhVNCb4HMHeeOAKmXril93wRTIw83vvIkgfM0Konw8YcDkJ7hEbG46
ugu4BxDEGYD6XTOJVaGh/CJaePTLIfVrZrjM1bqlBdtq2c4piML4iBOnSPc0PRS3/64hH5M987dr
CJ2s7fP/8etu/us6Iv/kn+uIJmvYNRKvtsdt+dNoD7ck20QXu9H3Jea708T5AmWZlKrHM8R+9sfR
nv2FLbvFJhpon6lJjMQ/cZp87Lt/XkdUmzSubRMCQiD4jFP2gGLZoeuWp5x+yjW5aYgJ0NyX2Zg/
xLXhrvSk1hjLYQfIUod5j9XuKkvjPa2KRSHEsB8y/GgiYnFo1W4bIscR2LYwVRTkR/MuWXeYyRMn
+TYENbnAHgQ7BHFZnNjnK0dY0GfKyTtHlbizalTwajAYU6XzYUp5UkNazNX4gabOW8HB9eRogeIX
o0bgNXbCFUOTeC+y6CEwIRmnTNDclOQn7X9vmlKDzNOV4TavvK1tOxdJOU5rlR4CpRmvKw13TcHp
lx6Wyx5ULv1eGwvoPYFzWLiOtM9ZoFWm4thYDki81tikqkf+M2xeoJrPDOvDfuXMU+0bcbAJ4+qG
wf06GiFHeCaEyLqOd33mPGnSADmMw2Ufwup3ZzkNgDHUjWKLHqstx7SLsHNLS8t8HYRI4pai8dF0
cX+RxZg/hRVewnjde25a4aehO6ZVXpMko2GxqhyGPvFmmAlWVoHDsKVPqSGJMFp3M1ObzD0bISuJ
gYMPyylc/Na4plYU18gr2tO7w1/XTXxkcQUyPtKa56jLTbwpDoQvp0VexbtuyAmqYeuLIuuxzWQm
2sTUbN3Cuw4YhlwFWbStxmRcqZVWrmKraJZsrfTNrOu35uzgVelJpSjWXQkRel/1Cb2yeHamOD65
TGyp303XYEAvmqI9D0GxbEk4wotaF6OH98eKHzyzMTf5qPOylHUDXlat59hB9p6+6oVYm3n/ZA5T
uRNGf903CgCReXjjyuNqNLK33qm0E6Yig1zFdE5GQJNBGh29TgkOtIN/02roey1zZWo4c/spUoSz
qhyQffTd0IWmzhyJoEsw9KJBpVeYeIVFczU2hS6wGYUtpeplxbTDdl/d0h2APxk0WTjruhy3rRGs
J4sRsBHUj55Jc4Q55VszLbkEWN6ScU89kAHpLD5iNww2iojmO6PEWU/70wAKzrnBlnnRatNbFlXp
Ukuta8ae4YVNgAha5aVOP4zm0RST2uwBUFxek7n06K51XkcZSaKtocHJS6al0JqrltIDHsRjQDR5
yUm5pH8AVRh+MUuQuWKtMLnD3W6hjRN/giHeIh/CaZ1owXtWBuesnrqlKVqV7tUOunFnYqqdKYPS
c3XVJVkJhgF7j9bj58r3Q6I3yzjQH5OSaYFtt+0hMhX1aAy19aaqQXpbqNhCs96dFPT5iLn/v6vT
Hz5IzrX/+4RzHfdvdRO/ch7EDEnp3O71//3fP6o9pb3+++KkmV9M3vucZlTUJofT+vczjgQTc75w
AQ9yuQ+D5Pe1CUMKZx7WM444JEB/pA8bXzi0spbBdf2PI+UfrE0fAt6PS5ODVI1Jk/XPtqXl8pPM
Euk5I63O0I8U+VSlc1BwLuE48Ey1EerSM5P05HW6kS4jO6DiJR66mQVs0hwwhuy4mQ5np67gwRwE
7BTLyqGNpMq0HPQmvxAkSm8mg8RQN5rlgeK+4qUN22GviyG9MbWBSHpBCbTfjs5boMcQ5U03WMOg
lNw6rCpPkaqqHq9bgmY8RsTfs02qa3QmZznVmBScvytGPF/rjR13zP04cOUT/VuqS6N5aVe4+xJ9
QSkkdV8R+2AhuuBWR8a+7koli27UxErDZpM5WjXvAMAH0FlxEJEW0hxapLkgOX2muj2kKmiu0+AW
0zMD1/6qrjV3gKRf6yaPJsPxS8aqyUpYcZXcKZQbC6BPqeOwL7arejHUBqE7q0cuS7vO2Jk9laC8
uUF0Ym6Tgzq3LclH5BadMH3tWRd9adTPoFJZEERENgoiVIO5ourhY05xbhjYv8FjThGH5yUvlOtZ
ow9mq0NyWRZO8tImWbQvARvSWoTrZ+dWbtxfw9/T1lNt5bSGwHR2hqPw6GJXNv++ET7eCBi9fvNG
OBY5XLO36a8vBPnnvr8QCH3jQ+PpRkIlriN9yd/fCJJs5kjJy7bt/1Tzfn8j2F/og8QtzwNryJfI
d8nD+kIQyEMwl8wWVMZ/5ETDl/1Z8iD5hVWUWDnOebSIT2qlKDOT0ZxrXwpj7telGpiUJjmPDqe0
wuke9Na+S+erYOo3xMVWeuVedW14F2R0dGDYMfCHpnRnT0eYEKHyYgzpnVCY42tGnWymOv/G6tRC
Vwp3pUi2akilYNkVeNvqwI8orPbJoTzRWFF+09o8Bi+ZDStwSgGJ6ITgY21vg7De5wOTtcSIHgR2
A3Y7jzOWhKx06RCLq+cpSa+8yHiube3r2E+6jy1FltQV/hSlxbKskouuw+dliaJ/mFT3KSaLd5GX
WrDSBsteqmVyl3bZkzo5884U7CQpqcUaNm/nSn/qG3HpUVM02c4NpfcpPuXKKzgEJ8NdF8WPbqxs
B7V4aGol3Dt6ufRoOxN5f6klcHqz6XKc4ksJI6kmDNRBHL0W4CbCNickaw+XnuRu0De4M4s1j+0C
462v6zeSfoltp00fKz2qFvwTN00zS/2mX2YmZovWokY2TXQMBWawKKymQajhzRoMUNQC5WCLYtgW
LdvEIO5WQ5Fg+7EPRELntUm+3e+zbFsV2WvNuBurasNZvFY3tT1HGIq7M/0eWzXBtKLSTLSJcow7
Md62LOd6AN8aK5zRp+pv6jyB9VKZFFFfVTCopxndkynrA5aCU1Z6l6I0l3ZCEy+Z3sMQRpCKnSXd
alAHTGxAmWqRcJREjxBrj28PtJFlKUzezGkaP44ptYgdNtFT7OEZEyRUW+cZu9iOsHm77hpcN4SU
pNnxanDsxnc0ttGV8TLpSeWbVXKda4KGRL45pTTuLMKelchwjXOEPFSKtsvc4lgm4xMZsvuooa2r
ctn5DVOwnG2b9HzSIWXUZD/TpN3RsVEseyjyXYx4MSMjSqTcVUCenN34uKWCuljXIcluUC7DIi12
hh7jXnZwYxEYKsryZNYRXB91gxcdPxLGprLHSjhlxk0y508g9tmUDsdiJkSLa3FPEvugUsOlCwDi
mVru3N79ljThzotCaAKg9Gy3uaV28KbslDsG6Ts1L/YdANTCtnepGp7gpjzlTXZnpxUf6jwcTKO+
wE597HrCXLhxrjLRb8YgPpiy+nQetqVX7DQ5spjMLQajfWhixqon46IEtzw06lmNzGzdzRTfhO3X
gRo7fKXzOq7bE2g7jjKzs689/dqKy4s07tmXT1TcZaLbJT3UZ7U+hqWDzarHgkmBCqbOm6ZoHsK8
ugjG5NhF5jIKp+tczXBN89CnGQVzQ/wQps7GCoutsGN3R7Z8Y1N8y93RHo3ci33KkpDYwh37nyuh
9OCE1MqPunrXe+pXdQT/6qpZtvT07nqIrENHr/cCpDicvll8Re/bOl3vlzjSdTBzfod10sjsp9n1
NoOC0OYNNKP2jzlRr8ZS3+cmZHeEyDaDnYlVtm4LZ6bL91pn4+hn7pDpa7ewePeNBrWdpgB+b2cX
XtgdYPrsxrZrF4rmXURRdDL77CIIp2GB7eY4BMAOYi+X9bmc4uvsUlG9TVV4lzUgcLg141pUqsaB
ULunTOkw0gZgpArBvuRmll8hwsS3Uht5GsMVETAgcMrDqPYnQ9Mu1ZRctO0AMZiGZ10hFRmXIbY7
WlWrlu+i1qx13oUxNXPiqTSM4+SJFldMvU2LZJPm5DoaW7vHS7evmn4RRYjXjXLVA73ydfPWCTsY
x/O3JHNu0DTCQ25VJdy94LoU+VGREc2AXhhztp600t44erAwDfBJSQv/fqhHfZvSxKbr4Vs6QQNh
wk1pqjMdAJzpa00rrbUaGxunQkLgpihBfyFt2KG6bUT3tRnimypH4ejC26ButpTFhIuRuEQ+xBt+
59twyh7aKup3o3lOU0xOKvWhiU29txg3llkQLghvY5WDnWv3WwUcczvTpdvYV3OmUY/r8dFoJ6Wq
80WElY594k2KlrhS0YaXbi31YG24Kg372GSs9yvUSR0dYKjie4uiN17+yCV6TruzgM65jiqbcnRs
vbHb83TOhwr/9sKWag3a6bYeAfOFuXcGQuViPUXXmRWIULrUesIeGlTfiW89MpBp58maFQZ3L8C3
ZalLdTNEh2+3AZLFcpRaUtF7/R7kIdtUOmTzmkwLT/EinYBgG1KNQlaFoJhlD30R6ktValYOiOG1
FjUcY0Vig7EU4YEBCbJWpbVfE82B52XN/5+9M1mO29q27a/ceH0oUAM74t3byLoik8ma6iBIikRd
1/j6OzZl2SQty88n4vXcOWEdKQkmio2115pzzEphDNFbp7rPJjRrE23fPjGBvzA30Zg1TMli0pQD
wvAdTpUL3Y1X5hAtHR38Z+ld+mW1b0sdUTuJq3ritstMK+89clOlMmxZaTUE43hYtyacJ6NpnrqI
fPjYfTA946zrUSlDcSJvYNV4FsKY+hqJ4rhwneCRlfVWNaoNsvqjag0vtLv2gBNoJAWI2EIjn9eK
cV9M1t4J0zNaJcbcdlJ6QajjCqR9La9oNuYoKyuPaDJrkcT5ZVNLq1A6bQvfPlhDuIEASi4yXRIB
6jlX40Xo4NO1I+Mk+vSqwebc5SPk+Cy7zmi/zIkN26thv1VV5UyY2pxSiBSmctt4Yq3EwdZ3yj1U
ljvbNPZJpu0qgzet4RJNUTx70bTEVnYaPCoFwpeWkxcs2bLOrbJ5SQNxUIjSIvIM6Xi7J8z3GawQ
WRYi2+ZqeFnp0ZIk3TmbvHFmpCAmBvWqjhVkbxm0WnJW4IH4S9jwxBHCrZOW3BbWbRNpm7TV7xme
k9CrDStLQbHOsIbSopzBuSxZ3eP7xMCspJHC2zNsEjHzdXqUEPCjWyFIhnanC7IJA6R62vXYMwmK
irscpC9CYrj3Shd+86q8I523b5lqGOegNs893/g6qIRxMahdmp6zjkS4FaEqVsR47rt4eilG67wp
NL4xHdODrXOz+HlvgdxxIFmOhbb0Rts95lq+y8x2Sb6EjWVbPSWmckgaHLuKb6xqcoVnnhUAzquR
2wWj/WD16NgFKw2qxOEwDC5iYsCbgzWdCsV+0PXIWxVhea+ym56pdruK6y5BQsi3dj1tI+TSQxbp
rMvxfvkVKFDmYGcF85TYV6ajolf7QpOdS+TIi7JKXxlAEeA5lqDG+BNd2gVN3Ss/HAoMXOm2d9Ai
j01LyIh8a1vm/aDxoEVMUxbVgDK4HM1zLQ7Pwb/NzcgMtk4w1YcCtSl2XuNOh1Ky6yvvJOrkAQeB
uZGPOwkrDEgy3uaoFowHNwCMV5gnrR/CgyBeFDPc1i/Uax0AyZRbqmwHrH2VSPQ0PpQ+3jiHnqxv
pa9MG7HLGfoSW9R13OS7EKxL3NnUmf2wBDd1P2rlpRhKCQZwziPNP0+hCiaOOYLNjW7LRDyYg3GJ
oi/fWwaNtxbL9kpvzIcpxW5fa4oMT8/WWccPVkptlRMACmDO7DY0b7Gb4F4BZ2SmqnFFeLXONqKq
FHNJRo6pR/PYsJWlroXeFP0z9QXjBCGHEA5TA2YKqEo+6hb0UFUHUkLDY1QgJsjO6mmgm3L1blt5
8b0/814N+km78NtBbA2YF6pQtpIfDxJ7xCopdR0e1XGrZGcqIb6Ked3038dOfykyZCf6bv4tRyN8
F4fBt6kyuAAN9vEwHr0XdgEqhbv+2uc3ivE3otaf/HyH8bqqY9LmdH0+V7UY7Ty30+SY9dxoG9d7
/PVp+tnPR+LBGeJESa/Wx9/fd4gwMqwyPbrsO6wL6zcD+F+en0+azz+dn0/XmrQcZgAspUczpaU8
j4E0OgsYxsNLEi1+/VV+ciiSwkgscE2LJqL4dCkS1ydVa8rjoxptUBiDEC4AnplzXsMQoH59LPlr
/9ETfLvsHy4L3Yb36h68rWnn2ElyLIw5HW0SZXi0WFPHbvXrA/3sS72//p++VOZEAmHu9wMZMIRI
gAhWvEfkq7j4m3tN/tKfv5SQymaZcAJsT8q03ilNDSvTc168GFuNlZc8dsPS8p5//XV+dru9O8Tn
222qLWol5urHzH2MvAdT+Q9uZ0lUcUxJd0E18/Er4Lq1GlPBmxuxAhpQ0cb/YPHCzMiwku6PzqyJ
Gev7k5QpGfW9reXHyXnsnfMWgb3a/M3a9bOLzk3M0FW2xTU5rH1/DChuDKjcKT3i2cA9BrpMs05d
NcuLBVSVX1+RnxyLPjltVM1hlkv/6eOxAo9hrIis7BjIPfWSRJdgXDolbdu1fvl2qH9lXvJJ+esh
yEXy+PyzKAf5qXcNT0y08Aa+NzU/gSBY0YhmtHnL8ALgAv5oeMooB/AdtEgRDL3N4H/veeK8Zbpt
4tlF+e7wjvon43k+xl3wx9LAoB/6pXQFSJWXLpXOH++Sbuw7s6EXfmzAkszNhlTAbryEVwZCTPjH
VCujZ3COGZw44xo6HtNrQyFD1ulflUBd0ZY1Z5PBQNQHmAWWlu2Zwz6MXLWnysd8NySMjNk+XDK+
8Ncq6LZ133lnwDDhBRXOU2uEV3Y33QU8e2x5YO3pBTHuxIIxwi12RkEGc+oAfDBEtpoS/YpjLfqG
cUzVM9XW2xF2u0tjikHEWROTSm+DmMWL+S2q3TOTKk81h2Pg15vc0YoZdrWTzmBlBZa0m0VmdzHo
tACkH2Tm6KBwcM4wntRn01TOjbKNtqpJSd4X2kbDSLwSDcb/mG4EM+3CWBqxt7bjhAfYSMXGK8zr
SuARHsWiNYxlW9TouRDsQD8ct0RVmPMmC1yaMdOtJb6BeUYKMcgs3R2YiXsS7MJ5EWFZNSWBrB09
OlodNAtrGF86lRADzVk5hoL5VQ1ufY3ISNBL9FfYdFAogwmQ2bkOhl7n3CH918+r21yxnmj47tHm
sKOaFjbG0rLWtkSanXSmUxSs9qXLGfIQO8yUHJZakpxXpri0Q/UpHibSCVWhMUZCjyCc/ibVzYeI
kkIvHHhGXWauilbDTzA4ezC/12BAs7k9qbdhF8HQz+AZGt5NMVTn9OSIVCC5oE4SyKnB16FTrguD
pk0wXDbAMVRbuYdM8ZywaM0sYG/zqgCePMm2gl6Xr844XqktsoPSFGdcpkMfOWwXiDs0X2mHLD1d
UiQZ0RWOlAeYMiwAi2PkkhTsO+spcqxZleVfjcwmkL4e5yDiHs225/7SaAemPlrErskPWpd887gj
RWWkC5MoOC2xd609bnK7+dYpwDL0wLi2EML5ISDIySsvNLVvcGUC1iRlN5hVyhgtlACX72i4cnoV
30YNJ2nKkPpZqD5mZqpfNnaxFEWKHTKtxBLfGpEE2L/O9Ta/HWqiErYGz9xDih2NtE51E/jstuFZ
3uTlGJzGvhJbj2A1JID1sEbDhpys7U0EmVq0HNuABoBSvNKZbwSNirJByBd40bhs0ricbjorl+Ao
IiFrjJJebF5lnkFrmS3gbWhG+dLU2iuMCnCXRhOTrUm6YE+73Y0izBZiPRZ9zRDedRe4s5Idmyhn
mWIApMdhPOSdFeFo4nFLAm5pAKHQpcg+Dnmtz5UwXfiuGK7cYrBnOS2/IZi+4V9HIOK7C1LeVipB
LG1M0uZE3OkyI390gWV2VZqI+4c7pfUXk+rehVa2ClxkE41LT7RptiGyC4zSKIvyiyRsV0WngIdU
anrNtPSVrtmZQUYIWzzAXbKvOLkaGYikbEbVxVC2NyIWm8ows7nv9U+1bd7muXGfqmiSdIyVUQKx
tSynSfZfby1UOESJk6VMm+m89zqBigELYhwkB7UHZI+Klyg/5DBlYz2wTS5meon43Yhfx6m8KSLn
tijDs6QynypAPHM1dY52I3Z2m6sgdgJjZpQ9PYiGyGrV057UIbp09ezAtSth36C3a2LnJu26ngfE
aCBZucGSTfbCnhQTnY+YgLeWi7zhWRp58pxJponq25puGaE7ZEi3LAK6tlM1Z4/C8wBqAfuhcJgl
gW2EtgXD1gjJwWgd9Jtmqk1LL25elABSaC7KaNW0IpwVhXqeeUIh37EdNzotmsn3HpUxPQTxdKOM
SHuQeTzDSY6uRuSy86qnp16bpKrDMFg4fvncs4egtUuGe55mN6Fr74OieA4JQAP3oqbXhIxvlEy/
wYuezr2Cq5E4KF7aWF24nsuq0W+dtPAIPW03buSHNF0XuM6smYofu+hk9hAd0d7iBaLap9EtT44M
KWqhrOnLStVGehaJn9E5pL1Tv6Fo9Dcszb8l0ttUWFb6vyqR2vSx/vNMWH7qfYkEY4R561tB41IH
vZsJmwyF0Yhg9tPfyI2/lUjASUz+CiYWc1y4WFIk/2MsLL4gnNctYelYx98mxv9AJcIA+nOJxHQZ
3LgUwmM/ZzT8sUQilDLLsGxrRytBLL5B0UvArFvGZ5GXzM2pPrnBdOfBnNPLJln3vrgjmBXUUuDR
BPXXwktIomHRwVgLBDavTnaXA6tT9y3BCHY6bI2hXkztxoqUByR/vAVY1/yjFgn/LAdWPbctCgpH
o5kS14zS7HH6lph4qMbWimcQHB4c0yOqwlCIVuybhylPN71OppJhdRdh3xjLEvoef6/up25gPsgs
AwgZZBUnuc2UdoQ2or6ERf3aT/o3V6GHnLdxQI70cJW6A4vaQF7AqNxVE0C8YUIiiLYULoE4z+xx
3CtmfGnL52jIEKMPHm8IymH+o361vNbkHwKN7LQFdmx9AXUWRbWHqCsNyAMm2ehZje+t8SKoSQyt
sRhYBKLY0m3p8aAuWFRHc27FuNUZjZKNuCiMsWcSYTTiUQvhZS/DAdsBtMMAdmQWb3BPlUvAmCQL
mUOxVD3cWjRzZOcNurhKbBaTyK4CuhhKtbvfNydGrqAwp6Q6dbkRrcFAlrhyE04Vknx0lmSLBSUU
5jSLUaSU9n0+VTq1BhJyszLdWZ5DQW/kO3cQBIp4wrOYsvTjCTWDCTYhUhcRQK0gt/OdoIWJOtAM
zzy0OYtetPUuwJq9Hip/nNF/xJBZ6iFNrcDw1oSPveoidwm/Ldt5GXv+RrOVp46ozBliYPJsuwRY
Y5nBi2dSvzFV+0UouTVrIfYumSvqs0qY20RtoUBbUXLhGshYNcLFwd+O4VKQ57I2EwOLe1dbazco
X9JBE2tLZpSXlZJcOFPu7zhzvFC8Pnt0c6aE+hiqG0/F+1bDmZ5lOsRiQ2viCumQg5y0UrKnYsSc
mwOAn9UWOsTGVap9D1ds7/dttRYBKgbgEsa6aOxkycUzIW1bryENANgoAaAF01jXUDIBpBEXSre7
oLAiMuBJTalcqMVBdKAqBJFBW7cszG5J9aQp/JaZDeayTZ545vxdFelQo6c4a5YBDAYVvaZLPlpn
VdFrAn51g7ZaP+VUgChnSR1vvEllJlyE80odrhNF8xnLJ4SIGSJGwlDeEv7iz9UJqFcu+nxZA/uy
uvpB8cu7JM+ol1zRL4N0AiaU4huIVEdqOKNbLcsvorIOv46COZce+AHTORcQTEEPe2pPpNsTo0Ng
8hygUbkVrf0SJN3XVvVWve8SVyOU1z5qCBjJwgc8IzukD/eD3Ttro1bseZJWchERZ5yKbRuL15zn
VGm5L5rUvVZd66LU0ETBTp5lVX6O9PtZt8Vdlyjovarhopkqd+tW1Saf6itgazekLXtLtaHCKdsK
h8sYEogajmtDp20MRtQk0CDb935Noltw6atACRwfVGubGOXeUqfHIYqwyGb6JsyDXex4R9foz5QB
fN0I4ZAnBfcENg2KnDCBfsHY+ilys+yrHTfRxjc6RktmC4KQEm1n4zSemXYO1d9Kn0RtsWapbUbT
vrzIe+XKrut+HcVxuPOZS84GMGfLGMUavxI14AgDb0W1iREm7/1TSst0VvO4nFr58Eyqxz5MHrQp
rGAZEc+wVkmGvUz8qli4OrNdVpiWvEGbHZIFB7EwtXE5RezkIKIkrDDOuB7aMVp6dWgw80rNpZgi
m/ml9VqP/rSIzWnLEPeoMtZPjeiA4TJdGr2qr43eSJaGWnirGFTTKnAshMkebDoT08lGtwdLprhS
sSUTE6ZQX+uGTCWK+G2DlKdW71G0JhkcLDtIZMIJq5RKENG6R1R7sqrOkjBWH762Zq+VCA9IlLLL
LYmWI/kwMWcsU7/FHf/bDZKCsL8uda5yFN50NT/rYeWnfi91fsmvtmg9ggY11N+0sj+6QS6ODCS0
qNw0E3Ks/IE/Sh2woA7ZJc53rBvtvn/UDXL4Se+6QdKqTU0lTN2lG2VgDP3UM0TUkBQxWqcjkS6I
cyx3wntg2O1zFeFyM+MBi5EXbxSPyIdIE7dew9DMq0DUEBP61KTJFch5MYNIu2gb+vReET61irqt
u/IQK5E/r1h32eh1lOtds4KK8hWbEpYyHYZKWpbbsvPnxhQejUbZMsQ9I75gplXwRVoPDVM3QhB0
aneThWwwe2XhUA80vZ3Pc2W6iO3Wmydhf6kbzYNAcE7ZkJ3GWNHoryrXShBWcyjCNQFE4cr37H0S
3Sfh+LX31RZAU3RZV0x5q7Kea6m1h2OCqwQ25Jjn+plamECwJ3OG+2k/WQWGjnbv1t63QpBMrttf
9dGOT+ZAipifeWe9iRwAa8gDMvRlDZrvEZuHBIy6i7YzaiLY7LWddeYyCgdz2bBIKn5xMSZ+sCTF
CBlXfBZOxSMRp/Wq84jI6iH2zwO9tNYZeWHegA6uctObsfCOddt/TW3QdrGjHwa3XDcm6fYAzGCZ
Inh1aVSUnnWMdWakVj9t2l5T5+MkSAITKzZGZ8BR12rjkn/mRqcsVanYsoGQ++nQgxZdEgx2Hwbs
3Du9jGYEVd2WNfKYOG7urQkRlJT4NnX6mrvVGdpPn60fbpKAsLOMaXVf48ODHrWpPUBddelf60lF
ilcgRUpseHub+CbdDr5lvnPle+OaompYpnm6g6YN/N9QXpBP7yc7W9lRc8f/t8lyNC9m57rg0EFZ
BFEDBiJKDmJIr+1DrhGeJdAu2DxDC2ooIk/a+pUezyZyKnRSZTBv2spnaBqfaW25LPI2xQ3IvrhT
6iutq9YIox/MUVsjUAJb61r7mujxeZOT1Zll6amNgnGFW3FlNtg+JyrQMXCQS/NWm8dTdVYINIlR
SiooHba17uf7GPJ0IlCtxSAzzbjfRUETzYNqPK8E59709g0SoZnyRi1s6dvdBVljoPySVEPy3pxL
XdZK/syV4EO1EOUl7xVoiKRSrBr4iLESUM7r3mvso+2wwEYEGGAzieJxsuG2tqunJm4pavP85PiI
K4L4pGFNchHUzJHELorBmUeG00GhVauVazXnmpGYfLkCowqaF2OIUFByrxIk2IP4dEgmRA06J6J8
0eTDyrBH5I76grzbr2zLl+BgbrjQAew8ZTuGyiErg3UQK1sC8WaMDud+hPxM8TZROiLnoFQc6JSN
5kTHt7nTyopUthFifDqsuhTtgBFGByeEpd5QgdNsXPcCxVCRckFuGymvHVqpvAED325DhaI9zpzF
mNaLIBT38PRjqvjg0BVCW0xlKKAe2XDcY+J/SpWkJ/Fc9yYPAfLywZF2W7EwivEMwO0W9TqkJZ2i
kHct19aaeUq7aevqGdXcEa/Poo7MazUkFlWM1WGCWE+RQj+BXBi0+FTR1NMrqKdXVuu9lKTvzUSX
bhvhu/Pa6Taa7wxzpbQ2JoFvHqE99D8Q+IYInRCtzwOzPeudbI/NmaYJuSWm7z4gL5k1trvBSIUq
R10Lp70I7e5O1YutpHchyXeWcZSw5g0Z+U12fmm0oiFNuEJz6LPpiTZsCaQn+9yzp+uSQrXUm5On
t7uq7GZ2iZJjEONimvSVbVdLA3Uom5xuUVPisvIaK2E1ezWbVi6qg7nAXFMW6lPi1foMmOFXgmEI
dNEtg4Q8/0KTEcK+f9Im9yBcGrsT6q2VPfU71cblC2hlHhc+BgIlFFvDt1q2B8OFkSirGIoYaKNX
is5VlhYI7pplXbnKijZhNu8VKIxNcdE47s0QtsE8tax2PqQWvMhIT+5jdu0Lv+heIzj+CHxukzbb
wqY8BIKiroX430KW08Pq1fLHZdsSCRAMw6okIyDWoGtaHY1b+v11Zp0qxctp3JMrYFd3Qznsexk4
ULepg4PKnTdkEehonYLBOtLE3ZtNwzJOaoFaayK+oD6Nb6m1e+xVSkYI3QSyzEV1kqjhVrfiCEYa
AQiMPb6Zb5EIXT4salISBDE3moxNoDjwFz5JCoOMVPAM+uENAxuA9WdN6LBQjgMDlTy800hkQMp5
b75FNOQ0b8lssFwd86TYIVQ61vawnWS4Q+UwRcnIexjIfSCi5ToJdVJIZSJEEuIVG/tjJ8MizMm9
mmR8RCKDJCoZKWHJcAlTahjtt8SJ9C194l31dPFnnYcuJ+AfR1MIFxww6haKfIkT+th3qUsAH6Mw
xFG7Smf32Pgvyjke9Ll4vL6sz5DVLPN5swkP1hqG4yZfBTvL32A6X7/9Hv+WswbV3S/K2cfsv2Yv
0pb055JWfvL3kpYYP2HTg4OQREPwg/9Y+2KbjBwBsiCmkUSK3wecODpkhp/6e4fu94rW/oLVgwk+
dHXMwrBj/klFa3yqaJlvCt3SyAukgKblTl/w003UjhaPsavgnk+jecIQLfSgXSc24iupUI+dcaNI
zXqEeB2+vZh3Us/eI2yn5soXCVL3SWreC6l+x7uSz3SpiC+lNj5EJI/365Ygp6+FWp6NuJsmqaYv
pK7eRGDvIbT3EdynUnnvN+ALpBbfQpRvI85HaVLPPUM9Canb711Um1VU3amD8zqYxLhHfXGV6tGN
o8lhSEzrv1WcaZmK8t5si3YRagXxUEq/ivwC1XKuECUV46xUqnUfK4jQPIacrFE7iLk9+AQvR+aN
mlRZeIP5tUg6ZTzRmHK7FfzLHvtqLu37ID3UAiO19PkLDP+5dP4XkgHQSRqALrkA5WgsO0kKoKq/
aCU7QGTJPJU0gVaNvjXgBegPEVMuiQNGc550N3qdO0yT4BHQ86LlP+ZXjmQVaEALIkkvGARiSZSX
FKJ5t7e9ut6VavaE6SOqiLoJcnXJVBDYv52a+qmM/ZiOoEN8xkhWVtAtY4dWJimkqgwCuM/M/Jb+
UH4spiE/kCswzhVHLDNHHA2/2GZJfl5r9Tplm5MIZzdY3j1taGZWsTHC4sNVnpnqVmMOhcK5HpHb
DvgrbKR9aoKBjN/nzvWbcNdJl3gh/eKudI7jOUmPSC+uGcsSHFXgcsbZtDffRM+N1D9DzECVWr3J
orXePZuwa6g1LmzVrqX7mnFnVahXPpNqT+qrJwC/JYJrBUl4iQDbipwtnqN13BG0IhXaHVLtxk2P
g8CYNOiAahFzmylXvsfJElktRp7ozkL17eQEcqECT6UcXKALH9CHF+jEK/TiFbrxsGHOLYXkGOgK
vCMU2hMq86EjOo1Jkb4aUKDbUorOJY8IkYleIjpBnZSrK6NvLQ0pYSf5jW4qjSm07WT+LD35omja
5Izh0GUqZfCjFMQbinkVtv1TptTLtL6uWk2bi1KcfJT0BS/orJh2+JhuVRH12MRx/aC9D8eIzhsd
7LCOv6ZSnq84NHekYN9AuR9ICT/Bg9Ji1D8KT8uXaopl0p7Oe3T/BBzf6fgA8lrBrDzQ8rOejELF
9yQdA35w7HEQlFV/CHAUJNJaoOrU+tJsEOIr8HAfRGlGhA29OmhtT500KBi9dxDSsmDgXUgS/hle
hl6aGvoq3bq4HDoJJZW2h2HAAOFIK0T85opAtzkyLpdeiUCVvgnF9h8inBSZFaFwkN4Kpd5gHHmo
8Vz0gq0GHozIcL82eDLS1gRVgEvD0Fri6Ax0+cX9KG0ceorHqzftg4vDw9VK4J3S9FFVxn2IC6QH
NZpIW0jumicDnwjOu5MujSPj1J1Z0koy4CnxMnqCoio2AW6T0I3vIj0++Gp948AFniWRetngT9GL
5CygsRWr7V2cmleVNLKkOFrMlEdNrc5CnC6DtLz4IwVHhAsm0ct9iSuGm2SXS5tMgF+m9tRVJw00
bdvdp3oJTB0xbofHJsdrQ2DOXqFRBr1B2Zq4cVRcOQ2JmSkunR5asJjiwyAa8oCnE5VRgzC9PDPw
9wwFt6wLDyLF+ePhAIqBnpultW1wBtVmsaMtv9WM4LbDOWThIMLPnNCJ9VadhXQYj1GM10iTpqMJ
95GnVwfILrtM2pJq/ElBHu9D/EoDviU0LrB7cLtqeanOI7xNZheuMrxOGO72Id6nf2uT71NFaoW/
q02q7LH69tPoA4NP/6hPsKBrhpwDSjTpWz3x+3QRD7rLYNE2VSjtxP9S1fxouVn8DUUIcXHEKNlA
2P5ouRlfiPVxXYcKhaIH2+k/KVDQLn6qclExU+fYqLDI4qH390mAJQZLYVdKnLoSU6Rb0hvtkmaz
taVfunuzTjdlU+HtGRUs1X4s7dVeX9bRDWbPiE6zNGBn0oudlQQ/qbR08Whj9sGu3X73bvtDOeHk
HpIu0nmCvru8DaBWJU0jaf9mPlbhBW/ejOFuQyxoZTEgn2WKoxIb7E/RdQqa44YcmUiH06ICttfg
fMKPioJVUUAMyZuk3sAqQvRhtc5tpoGInrFYd7dFKlwwT1YxjXMzI4FlrtTs3mL2TRdG3BWoccro
QbEK9sACAj8Il8Qj9UXz3RmCk/BsYisA09ibUn/uhrY3F7m+zXw1ndNMb1GAO+m5QzvtMqWRRGpj
rJtY4bJuA3/DIjundL/qTBomdksin3hbtfYwc9zQoucBs/kSHUs+zacmDTeEXk7Pqa7I5os51tl8
VHkJ6itYHRGZJ6bRYmR0O6NZWxUXBPbEoHQPmMI0jQkarSAzIl8gWzK/RJCGy72bOvoavTFNYsOW
n382FpW/dghJOtVVF31F11afhFM7ZBnbGsE5tRlcp31xLoy66C8QcLXORab4nbr0a5XMTN/L23Ib
6FrLSCXUo4c4qfVrQCYJ3Sq7ZS/ZZ2qYbFQjaxx6SoUXbUuqt2GXOqHZv9i967+wrXLWGP08jHxB
jnNFYEepFTJ6UwUdd+yG9X1gaEV1LMmI4RXVfFen/rurkoCjX69ci/DF/9mmig/+vmjZX1SXbYsE
BNKK11Bt/pBEsGihbJBCbgs9gqG/U40aX9jvyO3WH/utH3MC/Qs7NAPXPXhMCLD/cNGS6+mHrbk0
4utIyQ0GD0Jyoj7uqkKe+jrASneGbJ8JoQXdzm/mrW3FuzTk5tXnWjc5jNexy+rYLLNxumqRO/oI
sA5GGzmPcSBDo8s5xtSvkZNo2kWv1XDJo24sCPvuMnFM82ba+UabhFsMmfo1KTKKtdVqtVJmQtD7
ST3D28WjrdJpjeNIuwodkdCe96ekfhaZb/dnNO8q68R2bN3ZWfLiYRhc5FnYsk0xUY2uVcmEEG94
iKYcm62Z6OxEyGCO0TupY/t1Mp2WhIUyUPc6Gcb7qiwjMc9w4S+DgcSJqqyaZauO4d5qRvPgeVNB
jUNAwWNbZ4FAy+UhB3NMKtI4C9qLQLceUeJ/xRj3HNlUjwjeaaPa1kvRpC+2yEl96NLS/IZnHJMu
NsDS77fZpFqrJlZaiKa+Pet0lRC2Pm41Ui96RrzUo3eaQuSSiHvveaAXuKmNTN8GihcclFhHTKtV
qELLlt5PUZRrE7n+vOp4rNM4Y4LtMl1nyInGE3EuF7dY2A39yb72Fm6T7t1WQAn2KohIljVtYxN1
QKhjtTLpX9OXTWeVT+/IGN1ontdthl01XhSueHHNQFm73bRJNIpBiB7r0UMrqdRpjOywYg5rDvcm
sQSLuJ+6Ga/bda4J7HKkxDdB1Z/HxtAQq8GUXSTWsKjQ1i8jpdCPqh/HV0Q6G5eZbWcvkWpWu7QM
s7uoIyGC/iDhDl20/7fe+l5v0Xz79aq1qh6z57B+/tnKxYd/rFy6DlkOxwGuKcfW3gqnHyuXbnzR
WMzQrDPlRLn1buVyvghdgC8Vf3zqx8oFJ4joXssFyAHz9B/i6D6vWxaHZ1QK9lb+UMQwH9ctK1FV
N/Kq6Tg1d6XrQTD77b32l7Yo+RP+aFq+TVD5GSATiNKSk9xPKyPBaHYxFIZ2rEF4VyRXJQQwWWQw
bN5dAHY0ZD5l711wH7/Jn4/zqTlKTkdRVvjej1bRzbXq0Dvffn0A4Cm//iafOmc+oiLSXvkm+uDM
OvPGQVOCP0koQJG6JWq9ed09FIxCwosm92Za+EIp6PsXen5qsiuf3kNT7m3LX7qEm/gmY7Mreuak
UqR/cyrk2/CX55wb672rxmDggwpZngtjSZHIKOKu7dDRaOaxRxbtAVwNx1dHQbbHf7p2OP/1qZJO
jT/9ApgoLFtlgE4h/0khmLm+1jByGY+sOOSXaaJKDjEmI6QnhVkWcxGpGcQH191VQz2z2v5SQ2VL
nUbGeacqE2Pxkk170apYt31115MSWK2T9F5PjV3vqTWbSiXSbgYjjdZGLCIXmVEzy8iJruxqW9D3
wgq/0pqRZtC4DqZjZ5P77CNRLhXSYKZ1NYiLVL/A8rnywAPgLPDr69p3zwwCSirisToMaDrJ1OgP
5s6EkiQqFjGJIAXCKJvJ48SUNxw1Qpfbg6Omy77YjOV9HYG4IFig7LO91pgnmK8RgbkdfrOb1Epm
hTEZy1xcN6a9AGHL2x0tihX6Jk7B0l2oLlKZPE4eGnx8aTpVM2GRek34zve02r98KqW89N0VkjaX
Dw+++elx6UNRR81QT0d1bWy87XRo7ow1QINjPdMOzYb3+NJdiPm4MuY73iOrfDE8KNt41azVtX0W
rqKzv7llPvw+f3582Xq+v2XNJGmdVN6yebwljTnrFxW6hBUhN78+zs/uzPfL0acFzw3TKQloZh0V
kLLXw7dSxm7NUV+yi/r1kbSPp/j7V3r/EHzeyHI9KkOE+jGgmX4BXKNF7k0XqmYzNPeP/d99tZ+t
gBpVqHQ1srf/HM+Qopx1nMTQjz2Sjmx66pSLX3+jny2A7w/w6dzRMmYP6ev6kbmnVNr2KMmHv4ud
+buDfFplxSDsaWRSchTdfip3jX2NmOTX3+Nnr6T33+PT8jjyrq6IudOP8ODxY6GGtS9FhERj+P+z
pzsLn6u8zl+b/yt3i895MVahHzT/8/GP9fc/+y/54rF5/PAH0sDoi57al2q8fKnbhI9+Xwnkv/x/
/cvfdFrXJHz99/95/AbalXFNU4XPDa+Xzxouycf9dXl0aMP6v45PYV38rEDi4z8KJE18YVTGSFPo
qkuSM7f17wWS9sWAlEisplANKXd/34+iF0XJxF+4bAvlKO1HgWR+AYHGx94iD942hD9Ox8X3MoIz
+ZcL5ceHinUSgLDL//wve+e1HLmRbt1XOS8ARcIkzG15X/TuBsFms+GR8O7pz0LLTLdGv/5QxLnU
3Yw6yCqSqMzP7L22ZfD9GDj/6UNcofuqmYcFVxgJi9og0e//l36E3+7nsw/nONoyvhFgYgrF73Xg
j2dfpivhFek4XIAY7emJUGPAkKg2TjacBxNJKw6jsd5OXKZrWyvYO+mNK+8NSGWKbsSzz07leDUT
IL88t5XmlsusNe3ybNsa8VZWDeBsJQqdTVkNMVsVvSh2CfGLayAIYjswDNtWgF3WPXFQ2yq0ynWt
ei5Wm6l23tk3MfxDAoVgQLaKbOdICwBsB5WKtW2eYUS/z6sp/JYx29qYv2IUXHTQa2CCM17BS/l/
a73AM7MOvzMYsHaxQCjKobxtEH5WEVF/k6bLhTaEL2aho00IK9ZK0EcSeEhmV27ZDJ761tYXTqNd
2rB7kon5UHr1fQUcJ8i7J1ui73LtEtlXZJ3KCrKqVZ6AEO118jZgVrXRKhjsYw8R0hXIiLpAEZ7K
eFBQEk1qPLBdeC3iGEBT6sA2U+W1iux4B9381A7iS2gnI1IU/IKWD/bVTXX0yIrwNs9bj+zHFg1n
PXWdmW2aYUCXZvrTsRyLY+dr2yFLdo0WBdssldUKEP8ymFAS9dE5o2Nb+yZQsyAsttNU7X10GKEs
022MFmFFfOG+mqgnA1yKeT1UBJtl96pqjqGJcFUbhf0xdkkNiCzol4gHNkPBowqleW0xnWTelRPZ
5e+HokSFB0ZPJ0AP0IpLj+t2BFjG8l5ao0LRZEGvynOk3b6HG8G36DPH5lzanUaIOKgssse3KhWf
lt1+RRHobtnZZUfTI5tjESYyui1yN2OxYkUSCA8zf0fXDh5ziC2yuQ8kWfvJJl5cdx4bmuA09G00
FRU2KtDMpn6aMve2y/ONR1p1XPnrGeuR2X2yA5e1dfsGMZXJL17mzq4W3bM+IfErZDBbDN+Y+Z6V
AGUUVcOBruZm4pt2OishBEeTpWNh0N6NWv/UtGFPHvjJ9LWd5zwN/ptypwPMHncjSZitHPlYTjob
zuFLx5yjbdyGXWVyksZ4E/ixvjSNBNl04r2mgfFqsrlfVb1+8qw8WPbWtQx3xKCGy3BCqS2ncuOE
2oM71I9W0q2HgCJAhsGN1c3Y+Iho86yD6UbJg+wD0nenPxVa+IAI7VEryCLM+40TFN8MZziUnnYY
BoJwUV0fmLhsUzttFwj0V6bSWWi2VnNn9fGBn+8oY/FGsDx+GJNmCx5huDEASl8ya0h2g5YZr6p3
nZfaVQhAh3H0H7PGT+4G3yFRdUh1PBw+WOuoCVelNrOwSCQmOgBQW2loYtXzsUA5JqNLa02s6dOq
88EpF/b8CUPAgnTKIwTeLX33y2RjwQul/aTVhr3uavvik8q4xgHU4Ubxah5msnO7sU2PowuXKjDk
XSMIlsLtV66CrnBZu8dHKEn3WZEAQesVnuWiDjaJZ73YNmA8u1uVLR5oZ6jzgwuW7ewXLL+HCdVY
YqsvFnFECLjGkI8cq3ZLPoigQP4Wj2RPjMEpxspHUqd/C5nmSzt4yxjDjhsbJbo2cT/nWphm8Va3
CSP9eNfFzTen6q+ppHMIfFL3zD59NeJ2AzrtTaH7al00X5bOCMjvZ/p3nSOLZ0tc+3I1jhG+SWcd
l8ZXJKrDtgAiFOfda4e1RVoN3MCofasbTMQVf+ak3xi+86zn9ZNs82epKzR1Q3w/pOMp9/pdU7L8
1/r4OQjHfdTzER2Gc+dn2yCjxRSpfdc005XM+NchlBeF3dq1uuceDbPeIxdygHp2lsdhIYCIWGgB
7OQNNSDu5dje0p5g30kBijVutA/qgQGfSaxYLO17feKvVqeIFYLceSi76NCYdrOsI/HKTXAsfUp4
Lcpv4L01OxUHz5K8zAW7z51EusVxgxNjgMzHT5+Fzgkk5K5KgoOONdQr0EJjAC3c5GpKd8cGdVHX
RFZnRvKuudpK9tGuhVW4ILv4XTTJgd81BschXzBSOVjteFsXgrdpEdchtF0l7TeffWU3Mpxrunsf
wiTqmGlTY01aZFF4gx/+my8wRI4sLYUV01tO0dmTKTLh8iHLG/wKudqBTS93ZKuOEOdMbFsGlMDo
zfbVUVQmHmhDNUjyhL5QltXfIPRB6wnucZ241UsuwmCjCfcqsMjQ5pblsUYIyERvyDZ4wz6iVMtW
hMNpL31h87ywFFqPuCAWphWlX4nidlaGmYU22g7j3If1P8yPm+E1yHENtPYSVe5/JQiCONfRR/va
JY7BzT0l3hdL/iob+39WUn8q7P/rJeZK6wfmyshTbCctLyFKSHbOtS2uRMn9UGb+Vr39OAT6U2X/
22vYiJwk4FrsAz+/hgH9ALl9FFxFzy3vMNUCz/VAjvbfv8yMh/lhpvX9ZXAdGEwsbGPelP78MoGK
wdsmXXBtkTCUMYsiEHVa+dhaNzOi1K6h9MlfkTX/7ofMv0WKkPrxP+f35vOvmogfqSLGvB8iaJMA
zBmtzj/90USw6jHwrEmSoCDN/NhEOL+wuDYcl+mnoNL/EazuzKNZBlc8R/8nU1bPQN4nDdSbjvHn
lTaGhLbMbOSjQt1UBCmPgBr+0ROJT4UmBEq05CecESl/amlxvSVm67TttbZiDvYnTVw9qIvWTvd5
JBF2rf/+9Yw/bbzm6cbPrzh/Rn74OBuIoiJOqRa0GelG7vdQhvF7QIOasxr6SrmHrsEYYs9JDrWN
WwEbaukPvgS50HAHzskPBEwYe9tE5DKWsID1mggT0w1PUuHEdY1kWVQCxkTyzRu0lzmfTemE7zoK
6EQcVDOyAiuiaYRIxDhBYVZEAUhZe1sTwb3BgmNuApqkrY8YeBmBH1g4FYUZ2yOYfkbEusRdFm10
53bd0ZMmXpqoO2mlz18pjogTRoJf9s3KGs0FzN5bHwI1VYG5U0q/6WASoKXY5wLxXhIHRwUWBHvG
Y4VHksCVt24ybwYn3HXOVK/1pt5GDdbSwj2EkRwWoa16UJJVvfXD8Uwq1XTvoEgm/0SyZr9X2A13
NqPSGIDoroTK3NxO32enbVYN6poyEmxoJwl2mpAJ1FxS9Hwl0hz3ZLPnAyp7Qmu3HxJ2fp4PJza5
jJP9rKf4BOYVNtxIc1MRc07S2dcUh+y6l9Z5KKyDb5irLilOjd+jAR/3oxndCOgvuc89O4ynfhxO
rVsRGjJlYhnI/lh34pm8cxoO9JRZPj3KlLGmn43JJWrzmzxptngRLsmUHARRaYuhsKH3NviQy8HN
WW4mMB5AMmEreWSzidpOE8HGyIp237Z9gwHQwFQeleMpHRXZza5xTLOvntZfrdC9q1sIpTrbV5Cz
1UaHzumn0U2ba/d9BxEDodRCzR7ByEMC1Xx1QrZ6uh3fGhBEvTZrQXHokH/ngex427SK45wVgo3/
oa+6DWaUFdYCmChipZRC+G3dZH5ZLvsBSV6TJt3dMIZ3BCLsAfCs3MKdlebLwZEVtFGN0R9y+hzZ
KfkHuBuRL04Mm2Hg0SJ1nwJpfA6Xt7R0KJCOB8t5TuAyIxr9fqH7wU0YdWdLxrtSZttByHXq5Mt2
8I91rahtUFxNzYzZvXDDrwykYHxsgToEDUpTUVM++JvSM5+sqgYmBJaunFXwhIiPu6SX6b5Kc1CV
QcumUjsk9fSAxCKEjtVcokrdxx0+7ZgbDbMZjjPXePfa+B1i9VmVKdFgMTxJpHMjTuU+Yx3aubvv
x8y/l57FDOhv52dz1FX6Xr3/9+ht/tLfZ2dEBDA001FeSVQHNJs/XXuoyS00CRJJgjELtn7Xcjm/
oP6y5x0iBkqQWZQvv8/ObGZnTNpgVvKcMCN1/4mWCzDXT4XSPD2bFeIC5oQkVsua38SPl4SjB3qa
VlKR7F1BjZkVw+DTR2SfebYwhkDf9wQRpQiM8yxHicWs5TVDfExbvHHRLipEyQ7inlhq10nDfm2R
sJgSrHZKZyUzH62nEWmz6xXAT2r6aVdr1h3y51+pvM0Ew3xWRavYuR0CE5EvZpFCrCG9Aip1JdMw
nSC5iQ8Zekmy5UI/TJeJ5FDKRQM/nAi6Ka6KhR7AXCX2YPIVHbUgr66dk+s0IuyGER/hOGICB5gi
V+GcdNd14rGbo+/gC/UGWXiNZyVL+3s+HkF5sPjDZTFn55Vzih6ua5xR35P18vjDizx3Pc6pey0Z
X3D9GJvklr9P52w+koPXKtfEVigzPUqp9SdSA5CVE164tKr4EekBrVdK9hRX2FVh9p7j/hb9hDjU
bh8YtWGNT8rHeaRZlIi0ESifrAHIkFn6LfL8vF3lWlrQKIty6VX8TpOyPRdFTB73qNLN1GlbJCQH
EIpPWdwxOJ83ij27rKnXd46JJXJMoq+dbp6DfLpMRtYtIcGaOK6rl3Q2AbWqZUZXnNrQxeYD8Q0N
X7vUJnQNas6CrBUtWNHE+GsMex839m3ijyF9dt2vjClYl1bmbnpNfZQGJDJD1BfDhDtRalslshOZ
ZVfKkqNp0uZmVn0sO54Zv61vyshuFoSV6UvBwGFt0f7VTG1qQiHL0jw7MmS95SltSVyWQh+Sr5JC
21axxu5G1ecJTc9CVoxMWte+o5U6M7SdYendgLjccpYGbuGFqaZokVoNS55EQGXsmWOxWRw8YJZd
nJ8Dy38by27cpJq7DRgtr2QjnqwS0Y9ZOoA149VYNvbKjYLbgMGSPmSrKRguZe19rQhFZ5ZX8zus
7X1Q4kmabHlq2voaqbrUbpVy0ulzHNJk52QZ2pfiCUAGNmFMdDVm3XOPNeDQu8MXlYi7RlakZ40o
dnKAC8GGegyZeU+yqbaphHFUaXiJlDoMcX3JSRDucmZBRGi13Mdtv7d9+Y15Xksl1pvWNmp9B3lT
3k33hj2dg5LKRsd8vAnmaqc37UNM+VOkODHmemikMOopkCr5Ws/1UtZ6jzk3dUohVRkVxVcj9z0l
VlBMN7jSdn4XEcMo21sOO1B3kPgNCcQqIm/Rp2AzyUJA78r0l4GdoqRzdGfpj8H9BGsN8ABVXzjX
f0aFU9vKnBwzq04BNNeJJgVjOleO5VxDGnM1qea6Umt5cogCQfY5V50Z5adLGepY+TdFWZrN9alF
oTqh4ZJ6MqMZqGHlXM2KOeCM8Lcv7hx55pF9BlKZY0KIG6y8fBjmgDRQB5/mHJkmyE5r5xC1zB7u
4LsUe5N8NaY9IL7Ey0juGki7jTcHsWVzJJtrEc6GVeE5n+PaEnLbCnfcduS4iaK68ch1E/g1nDno
bSDxLZ6j3yI72ak5DA7N2KPb+iteuVuanvWgC4LjwjlCbioJkyvmWLmWIYs3B805JM5RkO6GOYIu
n8PoHIDKxhxPF81BdZLEOn5WhkQJ0SYeiSvhHGvXzAF3UGPXKEm/Bd5HVDh3dWPeJXMgnsFHEGp0
SvXk3mSNsRFzeJ7fEaNXzIF63Ryt13fxNiyZGkVz7N5I/l7Et3PnQD4pg0NKQl+I/B6BJ6F91hzf
xx+UID9juBty5P1ZEa7I6dNXhDXsYEszY2Ycsx/IEfE19JzmMUROiBjWecNsEhFBA6x6IEkwwC+q
heW9QcQgq8hqGYR2ux7m/EGPIMLEwKmt1eYW5RXS2bI8B3NqoWEU9y0xhtacZ6iZ5bYl4FAmxYWB
ZboviD4MmuFOjGpNAs7IzMc5KkISNV3rH8JpbDc9AYqJ1w6L2nFuGYrh559tNf/WU9/lWhaTnr+p
p8L3uvmrUoqv+qGUMjHaQf5Edg7nmtHSHxME8xcx066IWgO57P6gMLX0XwBuUdrM2aGMEubhwm+l
FDwuzDKm7REt8hu/4k9rx79bQ8r/FmyA+uVNEF8q0XWyLP25lDLmFy9SUtYFVlNSdluEGlb/xF4s
2Daldi1Celoe5HOSGgMmaHdXjkBfXJLAVlANPzkTmWl6DzQnGOF1xCaj6WHYJatHuebOTduN3fhr
+DO7nksrI4qABX+2Mk39tZYNcCgaA5MhcD3wGXfiM8D5TycO171nrhst4NrXi3M5WB/YCxisA8Mz
awVAMcraXVxUu8rz4AaQHGXIzUTagGbihtdlB5hfPToMKXojbNliWRF6HeM9RSvGTvYlhKK/cXy/
ZV+YjdtKT4MlcuAQ+k19kAMrR9cvjo3BOseM10kY3/tdUyzxFfXrrhhuc1x7i9otNr2dCeJhwIyZ
DsnQk9tPK6zH+YLwyatnpl9hTBXbEfPxIgo4zLXRf6hSRQZjO6xE3mskPcbnxCK0IULbCaKpSJcQ
W5EHDaAsnNFdQ5A6hLJhadenj1yvGgLMnANI3YYgQRa56x1wAZBmIZuzlxsPJXcpRfEtkwlt3c67
FMaXWzG533Rt3u0Z+S3pztkCFMprHOt3Y13gK/cVMcTAF0mdMh+mLHpNiBjpU24VLElM2SPSejBc
xaX4NsdC7eJpwJQUteMapBhmAt8kpit8DmPefwClAzsDan8b7H9rs10pctPCftZ+qjjZa3W66gPo
ElFNynKjU4FGvI5AtTX6Xk7cLMnlY3Y3VNawVG5Be2uSAhAAvSrzhvSU0cOPCGtnCZTR41ROrG2m
2qtSLusMn797TTGoD+VCZMWr3kYn3NSnKiLKQQt0dpQ2V5dlgJHyasK7Ms0klLkptr6pLqiJiUWR
zj7VagR1dXQRsXolfj3alCnrR3KYVgP0SrvnjfYdhkI97XalLm4Mo14Wsp9FwAiYg3ZPQMBjq3Vb
VefYl9QGrylBVVlUL4O680Ah9tQQaUiTIboXNiSfdWcstXjY9lExssAp00VuKwD8/FSjc6MYGi0T
r7t3k3TTEIczXZru7OPxH4W3D4b8qsv8xuj8HWukq9ayROxGvIpzFksL0J0ZxESpS8tkk1/AAxr5
S1sDn1cyvFE53zTPZLEEnZNRpzM+yET3LUyGZDVkprM25h7eTOovQ8zCQLnfnHho90orgQK3nrfV
c7kPdXYvEx48ri4GPAs394Yty0OyhAfTXwI16zee5lIhsaoMhrA5KD+JN1lnfW0Bj2/aMPmqzO4F
H80HXtp4rWpsa4HZ34wtrQLC5m45NtAJOI46c8n6ilQLgiaaI2fPDMwruNmHsjRAXjV7mTP22Jjs
EOVjJxLX3YZWxdLWGgs+S2UOwcrB579222DQ126uWcOi7BDk7yxXJw+xMuUUXXANju29J0jauu+9
SjOP7dCqYy/xpr7A6jO6a9IUOxVQfxQx8yZlJRbkBGJJSvhcehXc1RiEQWoMB8vK202lVcPW1eyj
JDp8RYNrQfOyP6BD1IyvbBx0sfWSaLD/QlLNF7qY7IOpeJiT3EVXiRWcilW9Fb71jmUX4oCLPNCc
ym+NF1J7YeClYO5ZBQt4cVVTDcsxGc5jUa+GyIs3tB9nK69uNb89Zq56owLG/mgu+2GMcdohXQgK
Sd6aORzY/0kBuddziveIJBp7NnU3Bvgu2nyidpv+Xhjxxa+9kxaPr2lofJt0wXcJ5Leky54wyKy0
6WCMA2xTyU4+qO6SuUkXIcDjgZigYxo6Z5Gk5IAO6r0Ppn2ImZAwocFeltj9FjyMF9uZkcrSIyZa
024ZXRirnjg3xobteRIjM9bBX/JbKHZOTtdRs7LfmlbH2W4V7PEjh4AZ9nQsoh6aZDXJ4NmosB+4
VuyvQo3Aazfxel68ahcznNacPH05Dam7MvuI/bvLYDQbin4NQuNUuI2xQOIQLALduUZ9fqbWy5YD
hCAPGUSd1bugbd5trx/X8PruR+QmxPvCL/M9LhD8po9+C3uw7fNn5hCHWEt4j+300pZeSKSSbfEM
gF/CgKItK9V81p73yAG9EQVi1yxsFkZg7sxYPbIf3WoRVJMuEPuyN286t7jzpPoScdEtcJNcLIHK
QPK5gx/tb/1Jr5ZSVMTYdVwJTR8sMPLHaCySvSfHWboCbco1ym0to34ZWfU1idobKpFNbjRPXabv
igSqj9UaPICtNawTkXVEUbklPSFJObD5wqVDl7uyk25Lvo++tel69g2/0CU+lqso6pj9WXNoc8rY
0qZrqIfHFJ8zUhcuQY6sjRZNwVbrdYKIPHs59uCyiRJNj4Fu3Ng6uCetxrjS5CKDrgFWroPihiKh
9Im8M/eWFd2EbcyiQrEZzRm4cMhxwMl+N2UGHwnp3hj4MYiZgTptq+EDbfAz+R3XOnc+Jsv8GGyx
IbbwRSXBC3g7e9WY0d7Piheh3J1pVfc9Y2Iz1lBsjMlSpPBIqv59hgS1jvHpJVhp2uh20kkA8Bpx
n1vzIa5JaMaEJ/5bdv9adrPE/ZuyO/qs/nKCyVf9UXaLXxDWUXnPRAp2zww3/yi79V/4KxsOFSYO
4+/Dzd8nmN4v2FBdkGwS2wKByHzD3yeYJAUQiIEdleUOC1pGjv+g7Da+2xP+s+plgmk5hsNSjSkq
CQN4JH4uuyczzEJDReJqumCZ/WxCgqe/qeArScSTZPRV2fmJkDby/nrPOPUF/72COW/r+bUtC5JC
g7u0RdNRT6iptGFbJ+FLXskt+cp3Zu6eYVc19Hyvum3hFB0IAnaSYyOR4tBXdpwhLbT4/AHBPLAL
T6TLkny1FSlNr+QBc9YaRwloEZrX+0R8ph5PL4alIQAcGkpRmuIhdoBwRbuaFeQizqcX+Eq7PkwI
9kuaeT/1ioH/cXLVyYuhaHCKLxJpfNM49cqqfUqgUSysVm4qT9tMznQTedSY/GTbwiNrjdKKUVVj
E87Kjef4/b6JmMFoHFIBIFWnZJRUd3DfM/ep7GlMZjDBfmoTfUGW4TEWKUqNXtuBELdwTFQ+FlVE
ZtawN/SOlAH7ri/aO1hv1WMqx/e0YLZgl+4hCMWzAErnzgbQQgxnUtbkog8cbS3jfNd0Wrwc2vZo
WfUeDxmSJF8eRv0r+ra3wG8fR2a/0LXAP9IHvCUC6HvKDJDIqU/TYfuDvuDxux24F+CcNLYoTR3A
ieo7ey2GcRfX49Z1+3XRRae25ncWBKmFOCOIbeIHEUJWl2aAgbT2nVhtG8kMDJ1XNKJFK0SzVy6z
5MYBKKUbDfKkUomKuu07vbeuqZTf067smX1Ko+GMFrB+h+/c38xQ1WpMYckFDEe4NiH/tyVBE2CD
85kfzETaWJkWlFgEKfyvHr3WVH/YM3fYS8pveDZsSnemjDOb2JkpxYFM7pypIBPBdC5aaABvIqkW
7DO1pha+pIP1mrtQj7uhuy9mDrI3E5EBBnyNQSRTMnxODTugDnhyYANEBup4FjNXOUEvW82kZZj7
5hqHHdkSM4XZS3ZWWL26iWw2MC9Swnfc17FhmFNY6CghcH5lxTdDafqBJ4e+IZ+pz2LmP6eBdgle
026VA4YmHOyrBStawow2GOXKZDraeb6NVXHbmfSm1MSPhYUF24Y7jeAQgiob1kDYz/5sgZT8F1fv
n4OpvI1gV4+WVsP4e82lrCGzaOqIw3yKVnwrQI9OstLYwy5sm5JcC+tlWg3AGXr+4kgq79pRBfsk
DGc032WqisOQF98IdIcsYXU0s+WYVB//3iu/3iuIh/7uXiFHcVTtX+zG+Lo/bhYdILqNFksCNED9
gSTij5vFJDOGtdRvt8csZv/tZrHQkQiPOQ9zAJfk63nZ9p+Bjjfv0dCC48tj2+b8k5tF/x439PPN
Ao+aKwzGgWXzVv400NFZSbRJZauboRIUbh0YQauwSPa1+l3oUOF244jvU/TcPaYUR5FmDCtsEiTJ
JRbqJcr8+oyknImhaZb3MQXpTg5tfekTv/haNMgAnZTjKUwd+CPMRslSYWVussnWhpu6ypprGcfW
qybsZqP7hnSXVGjkceZ+fkmCwoN8Ht6xTADgpiPkNYKw307Ymx8bd5R8BB1KLEO256YOnX3S5rjm
nVZLNroc1ZPZCvbxZm18KtmmL1Kk+S6QNR/lwq/fO7IH1qFwo7VTef3WiXtyPsOuuO0J90uhybA1
CIpVB30GRo0GUu+DxNrQOuqEuI3DBslsu0UA3GqfVuDF4QUyCjTH0q/z6uqEjCGcQB/C+zD26B76
tgasTnHr9BcXGDji7sAirwJ8NTpYfEBdATpV0p1GR1vLGcPghx6/xPA9oTvBevKQrbzafWq+g5yQ
Cpk69E3GwlwprT3eN72a3ucNKJtGIv8AenOvRAHUcL/ogi88SdESNOD07tfh9GlHw0ullZs8iA6a
w9Q90+mVewlWRiv6AM6c3o7bBDkspXQznhI1FCyJPFizQ6aQWkd9EG3qrAHDyG6LgU1SPltOlO5T
T380Kfx3hYbELhR9t5Bu1QCPr+17NyyALGqN9wiYy75g1RYrbhNPMI6X6sGvRcZUI/W+aE6vHcwU
VEIxZFfs4Nqqarph22laPaz7tCybFYnQBf5BVe8BrubA7t2a/nOy3wLq6dXkOfHjwLjg5MRWfK4Z
PLzqvqOW/TTrYJNJvU7toB15eIHbOnl/RcvjvxAD1j/mcUUsrhrQ5hBveRN2pHDkgEnSVW5ZXY0U
lNzYDpoE3MNB1qugovMAMSvtndFR1tvsoFKQQkNv3o52BSlTKFv/LFQxbcpZEeHRMyyaHgrXv2fx
97MYNMLfnMWv7Ze/GKzPX/PDOcyRyhGH1flXScF/zmF4eKRigtaA84wFmiPwPxW+ze4J2gyOhT/x
ZtxfsOTQMfBP3+Ms/pFGAS8RFfxP57BDXUN1bTk4irgvZk3pD0K2tKkawVZIXJtYvTDTJKkgMbWj
obXoEVy9uJWqZ92fW95lSPx6o1gqLZvaOlRKMlfMGfdElidPVTW1TGqTGTNmb7u+vU/doTjPa7EI
YCZZuKsamv3ayPodBOk5Q77feyS2EGEvVohwtu1sQ829MVs6vfXYk/NiRWH+UAYB4blF8QGohNVm
8VjpVsEOk6mdTV5MOgfHqDlChoSD3TCHygSTCvNbnFNbIrasG820jz5T0HXTC3+Z9ZpPUlHV4nMp
b0a/eXfa4MPPXMTmYw5UBd7EnnEgtmGl3bGiS2+8BoVVZqMzSM0K3itIrZUf2daSuFrOPJ+wisHC
mOKZX+vIvsW8cnEbEhuKMHmJDPOhUV6x0mLjs0jkgCM5eKxIrI7Ket8y1mSxqu/80vsqRJJTSoW7
xGNuLzg5EN9neXCMJ+9Bj5kYytnzURnioXBiIsn4IzRh0SwBxMOFaABJtPUARLZ+4cxHSFCwIS8l
M1BL3Lippa9CP7qNPARNWta7/WEcEb6PlGmCck1QtrlTdOzmOs6M6zvGstVikIIrucrqJSGYi9hO
tYVTpCtn4jhGRselk3sGO0sP2k+ycxV0tyiv3atnFOM2RcK46GwsSHnpsSesPo2yEwvyDoJbrUX0
NkXyw2P4dClH41uq5GjTTyqxYrPpXdKwgkmfV2SDJ9hcGpklmzwlFStI1DVEPcJQw70ihGA5Y3OO
B6P6xnzdZDSoDm1lXDj00Iqhg4CHQRSv3qIp0aW2jYcOpLXevtlF+ETYebusWm8JVjBfTQaSkxqm
EQz9WC1gXj85dC26r75kgb9tddM6WLl2q7vFN4v4xDYkfBsR3zJP7GopmgpOE0FdhZ0dhkaurcC8
jnpyBRM08yqYXgsVP4vef5QZHDfi6Qhh1JzHqgkkb9s4+YVRY1lqsZqUGTw9Ie6ysTkIUtrLJL6L
omBtt+lrL6ov0qsUGjrWW2PdXdwqaVcIJEieE/lZuvxypaUdyDOwtraYRTbemNA0OCdR6h+uMZmr
uhmfC9Og0NILJkkTtMeGjIhx6PaJPwlmceLSp/2XkN81wQqFv8xtMq2VUbyYeXH2AOHartrEVDkL
1/A/GoFdp6LL1tK+RACo1DKJ2+MwJuVy9IjRy0f5tZn54iWNcObGp9KvjGVUZMkyMYwtlJE3NyYQ
gX5cT6YnXatveX/4gthKe713rubFNm94FUxdv/LAdbvgpWE2iLvaM9/GxiuuFDYpSldtOGjJqO1V
1oOKpArskvLeolwKi+TOtXOJ/AgZDfwmv977Dt9lqkK5yxxrXfllu4pNLd1nmXEbCwNbHRXsstTr
iUA8J4FqyUM8gnNki+9cAQJDcO5xwqGdShZDMNwSMQLqXooPto+/pZL+KwmcNdt/0/M07zS5KZCc
v+h6+Mo/blvxywwTIUDzj3vzj66Hhmi+ZC3W0jPx6Ifbdk5NcKQBDYnVp/39n36fpyGEN9k8z/YQ
4p8N9uL/YJ72azbUT7ctikBkia6LWh+hvuCt/3jbYuAxk2pI1bVl8zidwa/J+KJbguyxhriEG9g5
XbPEJXmRRXmDROzDou9YV0b20OnI5ODGnkqjekUIfEjr/C7KolWjGdgXY0I0pTzDbeaT5vTbwCSn
vqqTE4Xw8xTnn15EkqTqjJoAJ1vdymDa6BlC8hC6Q4uTi4hEdLBpE5/pKxYDG/9VZXa5/gXUxALi
Z5ASPEOCwJ4Eiio64ANsgm1CLs+0EJ1nI1kqzBhvoMainpzKYu+QfLItHULsUneyHky/QSfjZ33c
rjyPbuZUxVH9Gvc+O+LOzIxN13bxBIw/PjoEEkHn9WTNMqOS2sqr3SreAXHvpvWsBWX/7FPcOn5s
vjIm+dKCnVr0af7sFCC/G1o1twOzW0T2e+EDmnL6ks+lm/Zs2dQ58hH3GfjMuKKjdTn55Dmxxld+
92gI/0mrpn3jaHcd+5K86/fWmK/IDvxf9s6jqZFsTcN/pWP2SaQ3i5mIkUeAoICymwwV0Om9z18/
zxHQRYGqbvcVC03EzV50d1GkUieP+cxrzvvOgJZvArPMzWkZqzSkg21OmQTxBonds7loLFTZLQn7
bh8HgNJRrttGOjUVBDxdggJBZtRKJNW6FUqfeB0kKzjL556TbhK13zRZ+V0eqmvHj1dqaH6khQp5
0Fq5indpIjo7KeL8Js6pW6XBLM7lZWdU12VN+6enWGbqnxNB3HXsrWNX6zjsmqmdYDsfOn+m6J7q
sbnRumZORxQY/jhVAPW5QXXlRPVXPAfp7dizXFJQxPU3WIZd2mAfMXzcpNAoql79PHbZRauGEx3B
U94nLURapL6/CV2UczUHY09j0dT1OjTCJQD3b6oRLqiNXuRa/d3L7JCCXzDxLCAYpYIBqrK0zR5z
zQrvPUfeNKoP8i/clCZSvgNWoqP00fC105iq1yRushn869NKESL49sRxiwdHrzii4s9gMD5mso/0
qLRwc+McRv1CbRKa4S3940E573S4rDzE1EkVmGzKOWaea5Am09Kvzz0L8fWgP+t6/zSrEAWFkftQ
Wup16/TX5RA5E9drjQ+g2ZeB2fkb09WRvFIxbI7l8BT9fXRaAjVDGU/UKyZGX1zKYBI7hSnVCKMt
AVcsBHAxB8E4gGSkmIl9ooZ7gfehF1DHnmpiC+d6poGCrMOB6QcsMs/dJe4hw0LS3G+0wi86AaG0
k+YWRS/09zUcNwTMUhWAS2UHvRQgTMmni5q3UjpXfeXC1fVrXUA2oUMAHBAwTnLHqxBcZ6UjYS2A
ngSpEoAuK1xgTHBRgwYFMzk1QIfKgBPmzA7elqoi6CwwpJA1pimoUlXAS/2hgoiAeKobnWvgTxUw
J4lZbHIBTO2K5A7OOy9jlEDmA14NBYyVYvkHI7ZPcaLUZlDoYaMI0Ksr4K8SFfVMAGJV3wBWCUY2
CWD5RqBmSdW/1AJGOwhArZSMG2Kxix6krSkgt5INQjIny+gDrIHTsL02weciDbCW0IC3pSZexAS6
oDe6C7YPqrUC3gtxGy0eAflVBfgXMEOxCJvhPBPAYFMLLqOo+NiajTlFb+zWMw3muxLQJaunLfRM
V8CMfQE41kAeOwKC7Agwsi5gyRjZxWe+gZ/Bf/LsxzybxPTX5//tg7/dZ6Zk8Ft/nf1CLgP4Gth+
zvmdjsRfZ7+AsJkcvBanr6WJNtdzxVM+IVbgPOZM5pg3tB8VT402G0oalqiIkiTr1En/wdlvKIIW
+dPZDz/PEL050Gs2TL1XFU+8sDU55jEuW8ePKmJMpOANeRWmqbRuYg+OlD5ODdHzdtvmtO8GZZIl
qjlXWmddG5E5zWkVLrxwuLWlDIRliBtrqgTxJDOTedjkd57aK2Cia/gxS4TpG2mmSc2nis36ekjC
bmmWpnvu6wOo8t6amYWKIarVlhdo5TcTw1N95LyV7zU+jTIWsKu8SzelGqJLj9FahK0inSil/0Dj
3PxQ0D8At96h2RSnKFNTF53EDs1yr3HQN3Vyh4Q5mdt9hBZ9I62U0HLnofDns5vgXknVvplVwqO4
ZrGuTGGrCNIZVXAtwqvFTZVLVyUB65uUP0NZe2UpsTLJ+fhRuMOVqMHyKQFy5MI7rtREax87Oaxg
Cch9eg/qqi7ZzrFS2tYxDnSm8KLL6tagER9eZ0YlgqCzVpJxTDFxMQ+SYliOYnmX2NvZDQiBcud4
Z0sfcyzwHKzwwBjap0YxXpVdNMzAPn4Gs36XYZ9XwPuflBjqIaZyhVLurdfitNeRfLRY75VY8MlY
8RHNVDP0JM0pLosWYPDsS9jFaxMDvz7EyW/A0q8X3n5N7SwCzP6M1HnIhfufooO6DYUjIHFRNiGt
A2ovLAODoOMgEDaCKn6CNr6CwO6TSSesBuOUaoMk7AcTYUQ4VtVns62+cuxOM3ys55EXoMjrBXAx
8DHM6EstEhncd2+b3qzC7TDj1cc7/FLQoqmJVC+8MLhyU09vrnIBeJIF9InCz52e119aMFG4ZusL
V1PucwGXQsekXqeuSlAIlAqufLswBbxqLCoMJpmuSzJcfKp3OKxAQLJyXTuVBEjLs7Fn0OyMhQCC
awDJpYPo0gS0y3E7a66EVTRrTDxKU7APlSyqRjamwbmAhwU4Kpq+C+EN1CXwHNaI26PU3wpgmavg
5C6gZh2YM68FfObb/aUGGk0FlYZBzqUZ2acSaLVGJQecud2Fwz0rvb7JBbDNBOEWJeZny0kugR7i
aq6Fw8wFDRchWC8LdFxaf7EEXC7raxLyMHfmleWU0wy94Ukdpossyi8gay8rKflYgb+LCu+8xr1o
pYDMC5DaUEHqYUVOS1mA98q+v0xilahFjr/6AP0MkxK/KXfWaVhY56qTbAJAgbFAB0IDUuGRRCN9
OrCDng+KEChhcNoALFQBGIIM/xoLxKEtsIcmIEQcdT83ZXWpCnSiH2XOrBeIRcPH5LsUKEZf4Bml
pl56xH7YF4wYFAF67Ez38yhQkEUOGhdfALYefg+IST/B2gKHjOjUHcuHQiAqMZgRdB91JQu0pS9w
lw7DOm2BYqpAMusOUTlNoDTbsNJnUVuaqwgIpwGUUwfSGfg+xEmB8oyBe8rAPkdTu3UBX05LgQjF
alei86xcI2ZEtR2gmaelH1SBI8VmiEZksySkHIBl2i728e2HEvCpCwi19SvatQKVCjU1EDhV10o+
xABXeyuQ1j5Q1kBgWuW6X5uAXFsPH1iYXMY0LOJ4aqZdNI8FKnaU/QskS6QJthr9TCrjP73RvUWC
m6BFEWKoAl/b++F9mdNSymhmyQKDCwBDpbICLrejnLiqgepaAkw0FuOHQaB4JYHnjRzvpocW2Qig
L4Bfx0nahZ6Xa2jdPqeA7wGMAB+sdSaFTROWKPTTLwl9V/QDt0XVB8te4IttgMZmk3xUAR6P2D+I
js1cb/VFCTS5zeyzAKhyiO31amQS0bEgrwMashws5W4E4Gx47Nk9uZJJe7lQygfwqhc1kOgR6KQl
MNLVgJ4coOkM4R2kbaiIEK+6kbyygFfLHpbELZMAJRd27hzCMeg1bPlihFisW7jIF1R7HqKajTLQ
zGzexkLthkZgDbSb+JKKZOVclg7YKxX4d8y8RYqILNYSsKVWpTyJpRrEUEyrcKpdyoO35ews51ng
N1joQkBAasu8tG34RzSz1GVZlV+CSLkxsIidZhidKlb9FWNMd1KyL0wqsN04jOcKO4gCcNv+DtSj
X5ZOueD5vpchikupnd1XLmm0Eyp05n2NpCkKjZlLCs+Zh+4QP+ty/6x2MOgCHIFFlJTNnaS5d80o
Zxct7jU/vQxDB/sXyYU/guqukmNJpnuDv3AyEkGvJ111w4Z6WM0O5trGxkc1h0QhAMMdZIus8VYD
upFzi30SnV/g6+nNkI0+glXht8jK7wxaRQB6kiUKmEviCN6B294oRq7A+cIabpSs07z2OYpT6HqA
QSwYgIi0m5JSXcIPnHlD8mckRxl5ZXfZW5TrK8k7l7UAE6Y6/9OWUpCPuvO1Q450LhUJbJLURNoZ
JZUcbQ8ZyZIPJUYV7OaV417oGA36AeHyNKbScYqYiVNssjjOMK8rAxnASUg5ZAS55xT+owLkf+po
hvbbOLrJ4iZJH95W0cTvPUfSaNIJLggq1KoCBE3QOv6KpOUTGBjQZimkmVgi/MAOaPYJiuLgwBR1
F0cLAdkfVTRTUwRtAzGJHYrgn0TSpsGdXkTSQnxBl2X6YooKGAG5R2L2l1U0pTXKRMqS5HI0/LVG
zKu3WFz3EQV8yvb4dABOxYz9Qs/jaIEQ+kpulGWQ15c+1ZgUjqHTqTAjJLoDyrqr8m3U6F/dCupr
Wl/0o0JFRl+NvsAySdkw9S3vK4oKH4BwRnMzSbYOycaU+j9nRdzk01Hp4rNkgBgWRz77UVIDmdX8
s6bJ7PMUGz/bFx6Uotk84uZZOtF3E6Sl5iqEGxgSlWS7wMm+dEor8O3sTgY1aLUBaRYpmJPAS7g3
swzaC/HUdPQtcxq0kXIKFva8rq1TzU1uNXBI2CVeVLojbPduCW4ylKu8ZWY2qO6K6n5rXhqZtY5r
9NEc3/ioIQyDTcO3zjcXVYs4e6mgONc59hUoIRJ7CMZdtAm7cEFZyJ02KA+BXeWYVUrpsyPou9mY
z2QjPPdLvOgFhIoYsj6FXg80PBoVNKGcZCGFzrfeSq6MtjnXIYNs8uIDeK1Fgo0px8qlZWA7qvXk
FngMhuhOaPjcaQrs41j60uruZ87GhdnQE3GwHVppcfI9GEAFUmecJUDpJkofboaWocPr6oPcuzjl
RWbyqdBPzaFCFre2PeqjhdVuPNleuPiXThLD7KZD0974gAf572ARYMQ4q4v0U8NjuMWIPHsg9RO9
y5ZGQA+stBVqEwN0Wt5DGEoWTt52PMsGm17AoF0HNkj7zr3XixxDW9O81TPzWiIXnWI2fe4kKNg1
hoUyWk7ESJhxLeHbasAJResDsHBfhLfoIt+BspylbgIDLroP0/KT52DLaKpGBxMjMle5q3Tgz1z0
frPemxI6LDQdqmFg4XSbBRFiBg34g2RljNFS1ttVpOInnTY9GG8oLRSI85luYkorW/mXDGt6RwGt
jR4srt5xFUyJzcCd9QrKCVXZU1axyCf7AYtOxckvYAN+LMbo2s0be0rNmtg2wEwXaqeN+gZpYFyi
BoXYBEFmhP1m9SUwrXM0W67TNgumVuAkU0kZx2WS4maUuiUFxCFlZmrqtzwtbuyWF2903myg7Cg3
7r3bSspMa41rJ7evm85ddRoppuK6p1Yk4Y7OpJ9ATVv0Iz5jJUkVeNGomuRdiVRaUVIoGoctvHdM
0jmoYM7z27VUrsFHzuSIzHqgSquIEhZ2dcsAsvZ8iK4pdyvYmgIzH7d0kbZ1a956fXsbxbApe/uK
ZhWRkUcJtFNRvkJu+hNolRQ6pzX3x3rhD625RnC+I1+tDV47GHxQNVve67DWKwMFyhzwPJKYM1XS
H9S+uohl6aKXa5rC9pDO5WHcUtZbDXltTEnuB15XQFbdWdZkKKGPq0V3k1hdNi2qWlm6qkfJTKMf
3bVxOusaZiB//qcaA0IcjNilUigS71i6Lhr5oUqYErqZBOvMsj7mZbGpYii7gA0e8ly+tLCPq8Le
hH4V6/O0w+TLVEjl5LE8dxXkMlOdt82InxUpX5oMCIJ7nX7Vk5gYRGIP9gIb17wWMX9UzVcuZKJV
pgzbwkSJxmFr1CMYSgj0UVXTL8bav6xgc02QLoKTF2g3XZh0sFCzq6KSl2Gp3+Yje2Wm3CheQWoz
2khjZtbW8/J1bvr0IfRg1gWgNQ25+YjTlzIFGVzM4xBKSmkwqaPK/dqa49eyLq79SvdWXiytYPA2
c4oiEapozU1u4+hXRrxfTUIYQSu7aWehIecl5XcQOWwV+TTznUs2uiXkAVjSenWLc8GnSK0/l4UN
Vz9qPuvOKJPCdcpMllWAkFWIf67tG9PBJ1fOPFBJsaKdllV4k5racswpa7uR8rWL4LI4cYg4vBPi
4BCpEy03MWRTP7Xmh65aj+6XLjjTfe1DGpK4oScYkjkGSG2Cs65xjs42ap5B6oqVaiWH5oPCRj9X
0PhuA5OlrWOsKxkwSyxzDJBQIe8PdH2WOd15lcfUutWVhRkQ1VN87AflBjjRmZ8RHyKN8tmqodvI
Rb0u6o1oftQGgj+ehYwjxKlZnDnBUi1K5FtKzEaHcYniRXieSmz/o1ReOIMlLdAbiBYY5oWTUdFo
0Oc2b8sVouHeGlcTdJRNW6C3M88pYGxo6oqE6gGxav+iS2twgRDkDetzSDt3WSIGR9moGIeN4svB
1K94zxbaPivPrucBVLGM/Wvt1iNGoVoJK20krXJp9pziJrbBg9i2t40+UO3p0ePwc7uYc3iEoNy8
RWIoF7TkTtmN1qbL1LF12PY18opSqWufgKqwQ7SFN9EraeUX+gaAtbdKfflBG+QH+PbfOXKggvr9
apClWWKjWxfJfHWesdKUbBb18V0fgPMwPH+p0vab1C6JL94kX9DCa5eDUofzjiCedjPOktjcIj8q
rLHNM0/0fL5Dp1N09xoay0qSOhWdGutSy6EVBU2iTOEnfWT4OcWV+AEm+7qlRb3I6X2VlbkM7Qqw
MIizRdrLEVxTOcffGZ1Ipei+pHUPnSm+MVAnNGPjI6aSVzRk6ok5Rqedbi7KAA0E1gm0pX6h1Dnu
gfodm+tV7XTpFLQGRTSzuMZscsEGpyw7XdCUFMQTfNoBFiCX1Kwxaw6TS3I04NGu38yB0w/zsgdB
z74fz3xz9KnH4f/X4yiSm3oFzV7djhVd+LgDKYnTzASPmQ1B7peyzM97K7amWSLNlQDXks4GLxMu
2k69Lov2jJW7oqUrgwzyRRFP8PJopCgctZFyHrj1mRtnn0l/viDDwhmRWp8rtb/IepQBUIiX0GGi
r+MY3qdkwHlFARMwButSLy96z1vknUoFKrDB+2DxYkrmxyZvL8ben6AU/j3WDQQsFTIkbThve7tZ
DeVADa03LxLFhpWZsBFKmH0bAfJHhr6KMugT8njWlJqGqhTtFRO9qrBLkisNG+iZV9sSYpfQ6Fqf
lmtLnRXyo4rMapIO07wCumCP5aqisjcr5fC71RHD2H1zZeWw9Z2yzZaeU1XnSYFuWKF1uN1bNpuS
u4xiFHqdXV9W3fVo6c/QrzVraQ3cNlmafnbq7Lq68a7DO+66vf9pazy2NX5LEfqEsHizjyNkvOAI
KTYwQdoaBnJFyiMm+zkbI1FDFQuRPgM7u0fdv2cEoX6CO6kKa18HfAjU+kVfQzvhMFdJ4TSh8Sd+
9E/6Gj/lYjCEQEUYSIPDVFIwktdfaRz1MlZkZZk2mxGaWcGSh7cDEzt5xJf+Uj5T2alK/tQ+cSjH
QBpF2RIqkqyLpPAFUFGJ67YwQz0nMjScj5FfUEcPOuRjVugKF9RU6rTRT9FKHW8QxoDobeLdGdrk
bmplFWcwUbwzxRKAYRAF/ZVP0K4NGVmSOXhWddZGYaV9a/vCtK86t2jbRahk+qzFsBGDeinGViBG
RzDI80ydZ13ctFMUe/HECyo3pYI0OHODBSjPqvTOiPVuY5F9XuoNdMipkmNcvsjcXpvGUKWkGH1x
Sl9dpl3KrWJE520cXpZ11IGhwH3Jd640RX4wqvw+5VACm3xrIb6adtrSkMyMc4NvAQll7kDMcRIo
y8mpOwzFTIuAg1SlMouH4k/f9q+RzNsoav5no7U3seJx4iKS9NWKgF07qA5dSFZeoq1jmOs4cOBi
JRj3jUDQ4ERqf+phla5018dNsC7yOSraQD1jyQATbuMT4myqlK4uJTGKU8TOyzq1Pg6K9CVW/WKW
hT6yIHXtqdClUChkWnDga9QT2aqduV866dJWE+cmtwqLE8dO/evKa9EBsJQS2paMDVQcDIyimkEQ
i5pypkslZHNjvC7wolr7kqJsXpRCrh7n0kv5VJVF9qKusJvLQuSCJg1oWJbcq7pCMZSATVF23HAA
bak1KjeoEk7QHMBXPAWGMYF3NIdXMC/nnOBrfaHN6TtP/6UHhEAB/ZjqWFNqliWKJVQ+KHVwnv08
1Y0eKT2v8rMNof16iDG7irzCJa8hGrGtyJkXrQs1XTURCsJb+MKzSnet8I7MqEAXwRo2DmZloPLG
b3WfOYtKBQFY1/nCtcdvloGtdOgCPKXp/hlIiYUqUDFMrYqOPMVaKLk+5XPD7+dIZCw7BbKti3+u
brtQ/pzVqNF6A6+n43wzKbBcxSwQPGWSrrD+nWVQT8Eg5vOu885VFyZAlKJC0xJlJEmIElhbbDoK
yMvCC4Faat5HD3gxJNcLUiuZjDNfyhETzXIKWPZyePP7V/xzD5aRdZCJkxER0R3qR5rzahNxRvgM
eeKWG7nFOoeNAFm2krNdCvy5kUHC0wtv+/uPVKmW/fw2X33mq7cp9VBF2sirNoWnfcU0DWaeR7ug
slZ60iAlCFTEM6mmWDDajBg8jKGnw/lYNigoS8Z5Fthf5AAKB1CSP10Y+1jwXKiZ+UF2xzvDK74l
XVDMCsw+/2Nupjyeybz1X0MNvsJm31Me5Xeey6OqgrEiOCpkRLDt0EXl9PlAxu4MCIKMUI7FNOM/
/wIaUB51OMQh5gr0viDW/iiP2icarq8mNhjQq1TB1foHBzJYgp8mHNsYnU6TWizkYEtFuOcV0KAu
oRHFathfwoKSJrmNEJ9b3tYqzoyhij30qKTZbQCe8FKtk+SmatxyJclKs2pGF7cqRJg8J3PrSaFr
Gxwf5XkdJ2gzWCFyXXB1alUmPSza707T5bfZABA4KuL+yiEln4LetaZO42a3etVelHKD+kKKvgeu
opeJV5CZdKl3DQk3XTaGqs291lVmlaJ8BAUfr+IY+ZSQ3QEU36k22Lde0ZSLXscSAURhcBkHfTJF
/vgbrK1u5WBdju1y8LGgTHfhA99fkPWhpScsDBWG4DJQbHdBYcVZIVpB161TIb8k1Me63HJmmDM7
K+zOa+ir1pcM7U9SzRBQRZOcN8ABIkf62hH7TOqswWPWIMf1Aco3OtbynjxXvXYdlRLq/PYnRvMi
y6gsyjXHFTXXBFyT/81o9W1vOuAuu+yzV0SfhUTAPPc9dHS94KbWwQ5rsQRpNEWvzfS8VTRy0ktm
8qB5fjzpU3NtolJL+4vyGp6z4aIG0bTw3Q5rEmP8yovGYcTMbzLJ3eiwtoDwrzT8Bfgm2r07VFeI
w7TnSIqgrFuPMp4b9gaZA7pI7rgxMl5pnfczEHf0tLXvoBPB+UV3kpuzi/v+Oor7S7OjmUQHrEYG
EgYRWecpSs8GTRu4p53nXKIPVU/VRAfHYZ5nfYJ+nKW5E6qKX3Nv/KDrMJ0LC0WEfpRQBgZUx/zo
p6ZdRPYliXOofYcGYwynVg3OxPK9M2i8I41dJElmGIZUE98yHqQqWgSNDU9aGhY7crLrhAa923iN
y1qJqhCQCzVRzjWLenosFElcWeHENuxgORjR3C6ADyIzR3JoGC0QrhIpPC9CR5FyHE7FwzxAQGWe
hc4CKgZE3GhkkAnvTqWhwpnUiBQyLtuaysxUzcuv4zRF6zLQT3vboeqIQcxt6rtQZ3WEp7MUGSoj
JM5zzGSmut101OV0og3uwzCoq0CyjdPIMG7L2gW7kdZTJKyncHQ2VAhjEm7DnCRdI6M3Z55Kdqlf
UocBEAOhbZorATYnpX7TRoDs3do4B9cGkg15u6ksGesSCuFaGbKzQo+V0yKjPubVDhJEXyrFvZQ6
bwETrV/osApqTAOjKcV8JKPpRNJtnNlF/N2PjYWd5Sx1lkmeWz0Dm3zL/WrdW11+GkmWPYsDRbn0
u1ybuQ1MSWpuMJIhAE0a2920hZRhe2rO1cEZadmDxdQIERDY7D8MSgX5HJm8dTGM9qRRVXdFfYn8
tcr05eC5zkyWIMfkRXoG0d2aD16jrdFuGnH+UKSlnhW4+BT5B1OiCztGwxq55C+5lGhXakgZgN0P
5SZISVM/yteSRu2891w61vnXgiTgzypFG9JnGX+wwvBhDEeqEnDsgGrsjo3/By3Gp0fca3/1l+ya
+OlVFqT1bTZ/baD1t/7S8xm1/0a/9tN6ebgahkPC+NNhvHumnZnX724Rb/H8au7x6tKsE85VKD6K
g90iF1F7nEEfffwxaYBzQi+T9JTzene9fI37H/76jY3Yr0bq3x0EzmRyf2zLTu//+78ewxLx4P94
JLjPi6EgkBCBB2nyqzFQZSRDdgIej4P0+FEv5sm/9/3+zjj9+i3uGQNRPjhwDOhda6qqKnDVdxfJ
1U/TgeiNhplCXYS4ic86vkEQpY8DB8E+wQcB9RMcvh+v14PAfKAZDxfGfF4zRzgUwmnk4KGwTqiM
2UTJT2PB4P48H3AoBsxgCULQEY4B5Yj3GAOAzFhhwzXeXW/WhPCDp85gOfzkKAdBfp2z/Z1j4vXm
SGXHcTSNmS+uPYMA18s2gI4f6yA87lg/zC3/8SCg2GqJ4pYqRkJcb1aDjqS+rrEajnU5yK+JAv94
EEjFSY0hu1MF2l2vZwIRAwU4yzCsx+r9ER4R1BwOPiLAeHFMojGwu8RieRk2ETIgWuCokFuPdDlo
By8HYkdqJSgzwMl4vF4PgqjnyHQ3nmyajm8mKIdHjSqxAGLNoHIfZwJz66eZoBgnOGwYMFqOOVig
JPe4ZR2wPUL5gaEDbfdXO4Mo/ZFsKESXR7ooROfwwJ2BIwCasib/6qBke0QKUJFNQV8+ymjhacs6
ZCbYZJXEx6JJurt43z8tCiq9NDvBoh7t9igfPhN40eIE4KR8HIQ3Z4TQC7MpNItu7FHOBNHDO2w5
oGRPLxA9TQPosrjehEzqicOOQV/6WPeEN9oK/zxksk6A2SIDaj4thzczAbVS+JUE18e6Jzzt2Ifs
CZQWRMRoWU8H5Zs9AWQFzUUNRacjXQ5PO/Yhg2CyHBTCAepqj9erjVEEz1jGG7ZytHvC4XGCeaJp
wGvoAu4/HXZHJFGlIpqDR7kxyodXFQiWaHUqeAO+mgKcjQhFovloPI70EUbNByeR4lhA0E0HSPX6
2+snYIs01N2fkoojnQGCBX/Y0SjCZfTr+KLwccT1OnMgh+SHSIkKzg7XsR6QynvsCEgLsB6Q0N2/
LdqsCcc02RSOdD4oh9cUjBMNoQSyp8dEcV8rRtTgKNAf6wGpHT4TbDCZ1JfQd3qcCG/iRYSoHPEP
I3XUi+Lw/YFjkvoSsvK0+XbXq62SYxKpLgTrhVjGUR6TT0HMIQGTQ6KoYWOBev7uYoa9ziQdxVAQ
9D/WQpsQBT3spOC01Cm3gm56HIN9J4XJj4VC27HOhMcHO2Qm6Dg6qKqGZdrjanhTd6boQAoFzvux
Jnu0x+XjEXbIUJgnFJ+JD+lJ7a43qRTGGCZ7KD37I50P6sEhJNVnviBDAMV67yCwPTommkUqm8fT
9nmUm+RTr+iQ+WCdAIB0TCLF/UuDSBIvK4eVcdyHpkD/HrhVivBAxotQUOXF9Sa/kE8whKFC/RSw
HV92pR8eRLE/WDrCl8+D8HqrFOVXpLRIwI/10BTsgsNmAn1KlR7kX2viTeVRVBkYBKTAj3aTPLxt
b56g57rjKj1ukm9yTPA8CDoA53+cdce3HESF4PCZAM9KJ1D+xSAAYiF6EoZRx3pcHh4+MdtNREQ0
4PW7a89MACwDT+5o9wShZHLwTGAxkD0KQMzPaQTQDiR5UPA/1rBROAcf+O1xrhGoNSxtHs/G18eC
AtoL82A4Pkc7CIfXXe0TtnwxDE/F533rAC1UBanUx+tIt4SnpuEBYaOAM2GPZ6vP4D4G9+dFocKd
BbxALnGkgyAs9Q5cFGQJeIQA9nzqyLDT/jwIMg1Km4hSO9aOjFBdPXAQtBMY0Aakp8ez4W3pkQxD
2KngXHWsM+Fxih6wHDST3Q/YAon1Xyv/55lAbiFDz1KOFrSgHR41034BkwDL7qne9np75IxANwyT
+6OdCIdHCUC6kJw1gHW92gv48gr6yIzO0xQ51sVweKxgEBKrCFNRiN9de0pMaELLYLmOdiIcHjNb
Jw7zQMcK9nEQXi8GAG2qQ4HecY67Q/eEvzxkc9xV22DQPc/8N8ckOZSKL4ejH2vs+AQmOGwQHFuo
JlJi+tWioJ+rKKiPHenOoB8eMOkC1CvYDr+GsJgOrj5Auo47gD48bCIqot9Aa+pXdVflRMBYSKqP
NXbUDw6baE6B9OdU1H4FhVdxFSKo4Dg51kVx+Ekh5Ft3HkdPg/DmpNjFFBgFCnIhwfrx1dmEGcRh
WQQzAZC7SZfuFzsDZWfg4YTPAvvFdbQnxeElRwF2VID5UV3eXW/a1kDhaVnbLJy/Px/+xqT5i3s8
9YP4fkdNRjJ/Rwh+pJv+y7/wzMl9e4MXnNsd8/inv3k75A+P935k5or//5/tfYIzZVDVZXBXq7tJ
/+Knz4tg90lPv//0Fd9++E8f9vy9nv9wFTyU2/IOz8AdK/jpQTfbBIbz/8b86377mjEsSmDPfyY+
+7//6+eHfbEYfn93FMIfnm/0go7MavrxVf/dmyfb+6x8vtGLm7NwDr75BDupfQ/OTD343tNtvG15
JdXzvV48O/P98Pujw129eaXE4Gyu73DztC63f0yzqt73EZzkB3/E7CH+Y5OVe8efvefg+8/jP2ZZ
yeR5vteL8eesO/j+ixIbjn03J+88+ObL+CFNn+/z4sHfY7mumuR7Ft/Xb2+vvMeCPU3yhzLYxntu
/x5L9jQd9gy6gF8ePOhnD+WeMRc98sNvHaTeno1AeY+1er6N9uxhAnZ28GOfb6vqYd+YvMcCPc+q
P/439R7ih30j8x5L9GJ7zwb8PA4/lpGgZx88NhfbMtg3NO+xRMW9kVve8+gCM3T4oz+k99ldsG/3
EhyXd7h/efdw/3yjH+MuUD6H3zzj2Z/v8+Le77FML7K9Y/Ieq5Rb1w/lw7Dnyd9jpW62+b7Z8h7r
dPPQbt/GjgY2eM/f5YDY8bLcsgU83+jF63yPJXoVb+8e9sSOolx78Dy8QiF6X3An2nEH3/w6IHSs
gvs9IyM6XQff/2Z7V5ISpPWes1QA2N/hA9I/Jg9psPcD3mOp3mzFB5Tptrzfu5GJNtC7fItZ8ODt
G6X3WLXiSyxYAXdBdbfvM95j+YrPWGfbotl3WmnvsYbFJ5w3QfXH5fegyvd9j/dYzOJTLrb1w777
v8d65v719o/Jtvy+3RcziKLxe8wnPmMa7/+E91nY4ltMy2Z8ftwfe6oAVR7+Ffzt3pxQFFEPvzk1
jL2D/y6LOaiiYMia5+d8MTDvspazeLsvehCN8sMHhsBkn3ut0IA9/Ob1FhHKeNtUzzd7MTTvsnRF
mWXPOSy02g5++t8a++5KYQeEJ7fE+EjsPT/mj3ERqgCHP3rDTrDniBek13e4+W+N2g4dmd8bDxx6
999IKB986+b7nkjZ+NerdF9Z9q8mxtti7bOy4b5f+7kWLf7GXfywLf/n/wAAAP//</cx:binary>
              </cx:geoCache>
            </cx:geography>
          </cx:layoutPr>
          <cx:valueColors>
            <cx:minColor>
              <a:schemeClr val="accent4">
                <a:lumMod val="20000"/>
                <a:lumOff val="80000"/>
              </a:schemeClr>
            </cx:minColor>
            <cx:maxColor>
              <a:srgbClr val="FFA500"/>
            </cx:maxColor>
          </cx:valueColors>
        </cx:series>
      </cx:plotAreaRegion>
    </cx:plotArea>
    <cx:legend pos="l" align="ctr" overlay="0">
      <cx:txPr>
        <a:bodyPr spcFirstLastPara="1" vertOverflow="ellipsis" horzOverflow="overflow" wrap="square" lIns="0" tIns="0" rIns="0" bIns="0" anchor="ctr" anchorCtr="1"/>
        <a:lstStyle/>
        <a:p>
          <a:pPr algn="ctr" rtl="0">
            <a:defRPr sz="400"/>
          </a:pPr>
          <a:endParaRPr lang="en-US" sz="400" b="0" i="0" u="none" strike="noStrike" baseline="0">
            <a:solidFill>
              <a:sysClr val="windowText" lastClr="000000">
                <a:lumMod val="65000"/>
                <a:lumOff val="35000"/>
              </a:sysClr>
            </a:solidFill>
            <a:latin typeface="Aptos Narrow" panose="02110004020202020204"/>
          </a:endParaRPr>
        </a:p>
      </cx:txPr>
    </cx:legend>
  </cx:chart>
  <cx:spPr>
    <a:ln>
      <a:solidFill>
        <a:schemeClr val="tx1">
          <a:lumMod val="95000"/>
          <a:lumOff val="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6C60-4AAA-879B-43ACE831D6DC}">
          <cx:tx>
            <cx:txData>
              <cx:f>_xlchart.v5.6</cx:f>
              <cx:v>Sum of Amount</cx:v>
            </cx:txData>
          </cx:tx>
          <cx:spPr>
            <a:ln>
              <a:solidFill>
                <a:schemeClr val="accent2">
                  <a:lumMod val="50000"/>
                </a:schemeClr>
              </a:solidFill>
            </a:ln>
          </cx:spPr>
          <cx:dataId val="0"/>
          <cx:layoutPr>
            <cx:geography cultureLanguage="en-US" cultureRegion="IN" attribution="Powered by Bing">
              <cx:geoCache provider="{E9337A44-BEBE-4D9F-B70C-5C5E7DAFC167}">
                <cx:binary>5H1rc+M2Eu1fmZrPlw4BEASwtdmqkJRk+T32PDL5wtLYGoLvB8Dnr78t2zOxKHmWrorq1uoqSaVs
qukmD9DoPt1o/Pu++9d9sl5V77o0ydS/7rvf30uti3/99pu6l+t0pU7S8L7KVf5dn9zn6W/59+/h
/fq3h2rVhlnwGzaR9du9XFV63b3/z7/hbsE6v8jvVzrMsw/1uupv16pOtPrFtb2X3q0e0jDzQqWr
8F6j39+7qyT8nldZuHq/fQ3//v5ulb1z1lW2qh7CLH/n5nWm+/fv1pkOdf+xL9a/v9+6HX7/7rfx
X93R8F0CD6HrBxAm1gkyOUGcEPPxQ96/S/IseL5sIMROsLBMwcSPv3q1SkHw7Yo9qrV6eKjWSsFz
Pv7/1ftsPRS8oj8mv5r7zSvagBMATr+//5SFev3w7k6v9Fq9fxeq/PEdVr2bb57/093jC/ttG97/
/Hv0C3iFo9+8GAHj9/3fLm2D/F8GAAyOVbOuVuoA2PMTJGyMMGNP2MPg2cIemyc2NwUmlr0N/puU
2o/77i0mQL4rdGRoz2FyHGSa2yeMIJtShMTTZwQ1EieMU/gH0W2op2u0H+eR/ASQRxJHhvAfCZjP
h9UBZjM74abFMbfJE8JsBDHGJ5hhi9kwzZ/WjydL/gaN9kM8vsEEjMciRwby1zw5xFrNT2zGLFiN
YY5uG2p0AhcYQjbaxnaqIvuB3ZKegOrW948M0j+SIszWB5i2AKog1EbUepq2fITtxjLDh1JmbWM7
XaP96I7kJ+A7kjgyhM/BzT4AvvSEMAJT1rKfnCyYoVtzF/A1EReIYDDYL+3yVH32o7slPQHbre8f
GbJ/pKuHvDoAtvyEwHpqYg5TcwtU8JwZw1gQUzyiPjLL0xXaD+5IfgK8I4kjA9iptT6EbRYnFEH0
A5N3v23G6ITCxEYIjwCerNB+fLfFJ8C7LXBk6F7mBwmJ+AmGRZXb/AlbMfaXwTBjzLlg5oj6mKrP
fmy3pCdAu/X9I0PWzZNaHSIWAug2vAV4Va8wG/jEBNrLFtYo3J2u0X50R/IT8B1JHBnCd+G6qg6D
MLVNAuGu9YTwmLeEFRgumjC9n4bAyEBP12s/ziP5CTiPJI4MZzcH0nWDs9KHQJs/+siCEPbKQoxP
ELE4ZQjCp5dO9Fv12o/23rtMwHyv3JEhf7mqwiI/iBVnJxa3MKMcvxo6CdtiHMMS/fjZxv4tmu3H
fecOEzDfkTkyvL118u4qh6zYPx9PWUBjUQsCJ4iHHz9jlwxbsK5bBCjMEYf5JqX2Y717iwlg7wod
Gdqz5J2XVxA+//NoE37CsLApfuarBbjZO0G0EAjM+hN1MlrC36Tafsx3bzEB812hI8N8kayzQzBh
EE1jkyKBIZu4DTSs3oIjRuhoWk/WZD+82+IToN0WODJYT+v0W5486H9+JlvAdnEbWdYuslBeYCNi
giu+b4V+i0r7Id65wwSUd2SODOi71X0FScZMH8ZoUwYJCwvqAvYv0egEMlTwD9Bmm8/IaL9Nt/2Y
77nHBNT3SB0Z7su0WFfhKvnnJzjBJ0xgTi2CnjzxcbSN6AmF6gKKgA3fg/pbNNuP+c4dJiC+I3Ns
eGf9IWa4DXUEGFZqyDT/sNlbqzXalA0J2+Z8FGsvJ+rzCsIvpaeg+/L7R4bsORQgHqLgyz6BLCPU
gFj0FWjFiQ3XIJ0xzkVOVWg/ttvPMwHcbYEjQ/diFR8geCaQRwb7DFTIcyXnTjUfPhGIIpuzUTXf
VH32Y7slPQHare8fGbJf62+rA6y+4gRZCBZXSEU9fnaQhTQkoMotG9bll+znVH32I7slPQHZre8f
GbIXK6XWBwiKIXQCaC0unilOc+xZbWpw4bLF7ZFJnq7RfnRH8hPwHUkcG8K5evdHFqyT9SFWXuvE
pBgT/mPl3anygmy0RaCaBAz4Hgf64m3KvYL4nptMgX2P2JFhf7l6gBL7A1hu+wQK7IHWYs95aIiG
t3xpmN2mDcG0hcY1BpM12o/16IkmwDyS+B9A+Ncqbj3yZpPFHz/Wxj3bZt66awY2xUDdjy3QU3nX
huXYwhVqR2zEMIN1+0cM9XJdhn0MP3f8PP1+n077kX0pu/WMT4/465fyP7f9ZZNNO8CyS9iJYBaF
afmcfBjbYyiWp7ArymZiFOROVmg/etvie/Db+hVsANsWODJ0P8Pgrw9ieCFRCMUfxHytYGBT3CWA
zbLNEb5vUGk/wuMbbAG6fyfbWOTIUL5cZw/5/WG2L25CI7CwjD0Tk2NDjAlkjJlNyKa876UJfpNS
+5HevcUErHeFjg7t6h42XLr/+E5VdkJMW9g/CzZ3TDaEUhxiZMT2Zh4u11P1eg3tLflJUG9JHBvO
OUzqfx5mqAGxhCmAhLSfPKedZLF5Qi3wvmDHxGhGT1XoFXy3xKfAuyVwdOhmel2t+38eYGLDLjbY
x0bMZzZrh/FAJza1gcsab1SESujJOr2G8egOk2AeyRwZ0ler4hCRL/AZAjINkEp44ix3UIbdqEBr
mVDctz2Np+qzH+Et6Qnobn3/yJCFngdZqJJVfQhCiwEtaULFjv1atgFBhf2G0mIjB/ttWu1Hec89
JmC9R+rYEA9VHPZ5/c9b7U1pJkEwWX/sLt8p1sMnNowGCnTW9ny+e4NOr6A9vsMUrMcyR4b01bpZ
HaSLAMTFNmYQOT8zljt2G+Y1gm0zlhhlEadrtB/lkfwEjEcSR4bwdbWCbMQ/P5MJgVoeKKrl9iub
GqHjD6ewcdUe125N12g/wiP5CQiPJI4M4Ztkdb8+zLZk2LW4wfiZnd43h9mmlgv/LAN5SY1M12s/
ziP5CTiPJI4M57vN7uRD4AzkF8EYGjg9Jxl2GBGIpDCFutyxrZ6u0X6ER/ITEB5JHBnCN0kN/eQO
YKvFiSA2gy0SzwjvbIgxT6A0ANgSMtrHOl2j/QiP5CcgPJI4MoSh3R1sbHRW1bfVgfIVFobNqmC1
f5rknYSi4MRCsGf58TNyst+q3n7U9z/lBPD3Cx7ZGLgNoRGfCh8O45QJblJCnpvE7CaUgf2GNn1Q
mDkqFHiTUvtR373FBMR3hY4M7acGl9A98kA11hRWZigN2T/dobGIZWIT9tSMoqy3abUf7z33mAD4
HqkjRNwL18EhAIcNFAjKDWATxbhShMEOKcKhAevzUNgx7O8m6/Q63Nu3mIj2ttARgn2Wr8r6UOUl
gLaFYVF//OyJwLCAOnwh9nengK6/b1DuddzHN5mI/FjsCLGfA71yH6r7/Md821OBBZmJtzVTZrAP
0jQZ7Ix5xazjExgRQKOS0Sq+Ma4/NZoSR7wO+e5tJoK+K3iEsF/UoXp3/S1UxSGsPIWcFraBHoVR
sPnsVKNAMTd4eNAvbA/+b1Tt9RGw70YTx8A+0SMbBR9raDqVHqSVJxQVcmiWDmb9VfihYxFCHI9y
JG/RaT/uO3eYAPiOzJEhvTGql9D2/RAz/bE1DWPAuzxZ+h1iBtLbmENtmgU24CW5+ial9mO9e4sJ
YO8KHRvacqUO0XsKduhA611w0clru6/wCfjvJgfLP4J6skav4LwtPwXkbYljQ/iR5HKTwzBwQLDA
9hvYPPnsu40DNQjJwa9DkPkcUa0wszbjbqpar2C95yZTAN8jdpyoV/UwxS9+o8MO+3OYhSzzR7Hh
DujQJxJ6gJqQDR3N7acXP1GrX2L+8h7TIX8pdWyI58nqYB1fISu6qT18/Oy454C2JaBh5A7rNlmj
V5Delp+C8rbE0SGc5elhqg4tImwoPHyttvSRh7Mt2HE3ms/QY3iaRq8hvCU/CeEtiSND+ONarqa9
z7dZbPDGoMeMDZtpX0mUbU45gTQZNOV+ot5G7vd0vfbjPJKfgPNI4thwhu15cBLZP780b3qKQbMS
YFGfE557IqxN+TAkRMcQT1fpFYxHN5gC8kjk2FCuwbs9RNoTGtIQczNTX2FMHrfpbdxuusOYTNXo
FYy3n2gKxNsS/y8Qfv0Iup9H/HkrvZo9Hg744hS6X199fEFwtuFI9Jm12E+LPzEay4ff30N5P6EA
4QuqfHOjLc5j0xjqx3K7LbOGmP3393DKIIVycugrx2BlBu/Mgsnerp8vQZtQGB3QOwE2cyJTwMKd
QftZCWcXAgkDRYwYdpMQ2ODHLbik8vrxEt10JITOwRawMBRR2Ery4zFv8qQP8uznO3n++V1Wpzd5
mGkFz2Sb798VT9/b6AtFzdDtjmx0gF2lhFAC+hX3q9tNVyT4+v8hMilQ0DB9lca2nOd5Enpdnlp8
+NDjZmgKJxTSH+yZJRtTZrO4idsZRRqjWU5wn7Wu1YckOS95WPbXUQuNrKnD65ZW1EGdXdZOShNJ
FohlaYIcy0pC9UEaftRgz/BFnv01VHZt3bC6FlXmMbNorPOO0lZ1LjLKSK3YoKthcLTtM2W6XVc1
QjmokdUiUoW4lKUpl0FX2U7ZttanMi/cmIeJU9Z5TB0rjlIPlW1zDsXl/RzzMLtiSVzfIjtuv5kZ
pcWyiWTwrbGqbp4oM70I7TifJVbuX0UGteaNEclT20Jp7PCW9B9gb7y/VHXeXsYZa69Q1Giv8ovv
ecuVdDqMqxUPQ+Um2sK1K32Kl5JG+iNuy9SFN0jv+ZCIRSOT9iLQgePnQ7hIDIvc8sFMZh0JSiep
zc7yOFKdQ7U2llBb0V9VZhXN4zpSc6tAReEolaLWIYh8A5j0aembQ+SgQiBPCIn/IkMx3MhhiDIn
xjX+FluKntelCpZ9HKk/CVXEQ1CCd5MVIvAGntbXdR3fwyvNlqWw0R1SoZm4ERw2cGm1oXAoy+VV
n8aBF/Q0vKKhUgshkmoWDYJfDWVIT9Myi1zRp5UrSdDfW3aXXNDWV5/rNK/nSkSZq4wQXxKCksGx
pYrnvfALGCil/QHFuTEPS6puSEgKT9dmfg51BM25UvGZ36fDrOcGn5e07763lkxOeZEGZ10eWqBb
xIzL0LfNsxS2jcA5mX2SOFrX9kXZ82xRBDVaWC2Moo5WunMGLPyzpDLsz7UwvuSmxBfY4MU1qO/P
jTi1LlWOrbmuKvO6H2R3lvA2WgZh1sxyQ0eXlir6W1nx1mtUW876sO5mQTP4c1UqFXgvz+XcmrP3
edFXYSCfT179+eN/PuYp/Pt4UOffv9wc3Pr3T4t1vjn0To2/tLGsP7/192GfG0v28+TPkX18Ov31
h1V5y8U3WVYTTNHPJOSOZX06kWvXtm6kftpW6LtrwVkYcE4R1PXjTYehH7Z1036EwSkocIgNuNPg
Uv9tWzlUHsIHapIorL82AwP/w7bCqUcYuohBNQM0TwBXG73JtlLgWLZsK2wqwdBdktiwylsYbXb9
vbStQcXaKCI8uTZQ+RUOpm2doU6+oZ4uE5RmTmQPrqrqGaOpYzZsPpDgQvTlVctTsAttWi7TsEyd
OjDcitV4HlBzbubkrg0bPOMsr90m6C9M7Xu2kYOhRvpzyHHhJii5kLRM3MaoTpNYrVK7C5waWQ8+
BstUGGngBrQ773jzENeodHls9h6sDjO7b8Bs99kwM2sj8aqUdh7mtXZZLWqw9Kbt6jzr51ne3+Ce
Ug8HyXndUeL0gf6TdLrzVNY/5KZ9BtuZC6/sssIJGhU7aUAcKofayZi4GQT60vhD4EQ8jB0pjdZJ
GNjCyI5CdwgK7KRp4DvMX5JAz3uW+05ZqtDBbfd5kMGlZtl54RfnEp7JyfuwclKMb9sw9pogSGdx
hi99hD/6faLnDaTMHGj72jhaNdopYoPDKkROU9KHrs+LL5xWhgsGNqgDlzZlGNxpHBV/mWX7uR+s
9lxzdV0QrRYJahMnKqu/uqBZhlm8SIvWdqya5o7V9rlTEx870ueXMsCfSamIU4fttQH7QWdxXA8e
pkMwG0TInaASxsLI61tiyAea+PmijQMX1XF8ntsr3a0K0YOVt1eqJ/mirswFHDYTzKqiTfPPAsns
LjGTIl6HwfDQdvJ2IKaesbrImRNXkvNVhaIrH8b30tSZedppnF/jyhfXVuqrMzC5riXqWdYy+xTO
G44cU5qhKy3RX5FoYKET5mm7SCj70matx8JUXpIuX5dDg0/NPBClU9lcDs7/j3bupcGikEH7lYl7
2e/mb7fzSeqniYM205veWiYcDEDhFFu44U8TZ0ElHRTZwG5FDv16Num4Z/fRArYPbc5/Mp+M36ad
6Q8Th6H7C9wQqjk45H3gdL43mTj4G9sWDjwBMGxgRaEhCRQFQQLhpYXTA8mLsq67q6wlYta0viyc
nEQsdmPWNh9sg/ZnUddk8cw0Y/1V51bzCTyRrnSUyMovL97e80K55cxufNWXviyFMzPgcCQ4U9La
nBe7CZ9famNlfRELWTdXuMzQVRAPme/ULLel2zU6F07TWvVX1hRG6FQp16VbRlUMpnZQzHJh40n2
ILQ2r+EesvZwkqBPAzU4WvQ29deoN1A3/7XGGPz4HY1hzzg0yROUQS/xjXf+wvu2QiYB215fkY4G
gWd3Q/KpASKXzDXrc+o0fYciL2Q+dwZm96HTxyZZpE3VI69qcv0gO6WQGxoF9RQc7w5WLpVm47CK
xsEsyCN5E9fiLFVCKnCuTfFZyfI8TlrazUJl2JdhJZt08eun2oUBtuCYsPDBaRZQAfj40C8eivVG
0BpFoq4y7YvPecARBkccw9Aosrq7abtK3BU+Sv789Z/djLWX6EN7DDgkhxFYcKH3ER5HMtTsAqtQ
QXaV8QFdoVjWV5mq3JD78vOv/9J4Xd/8JQFFrAx6F8I6xkfjrMisfigrmV/xwrRWZZtXycLXvMdO
XMiZWdbJ4BKz57kbEdqm/23QjEM2eEq86WNswenl0IJ+/OchCRDKIEvDK1bGdJVGNV3FyUYHOqRq
Zld57vQmQL9ok7LFThnnbK0ToZat6K2LziaV6ZI2ymM3gqjsE6kKTDzJ+35dGE3hmcaQMpeK3KpO
KbFhzf7129ucuz0CClp6gtmAgn84tBmaMW8PetOuKQRevnGJaj9dhZVWgYOMWGeWQ/o+C85aGcbf
Ai6Ki24o5dzOrS50MWrYd82GIXd7GTDXyqNmHVaEPTS0kOzs10paO84bHG1KYBBtODoodqAMnMuX
U9OueGhWUpPLyCoLX3BPCzkswMUhYq6bunarrjQ/NGlPa3BhJHMrlC0UropFYhXYjZMyvS0SmnYO
S9rgSxul+bJXGlwQWhafbBVzzy8z363zKIIlV5OodfxIZVdtYajr0hjILAiQiBxj8LPUxY1MT6mt
k1scBTdBn5EO4kRWXmm//KhxahDPbjC8yLDHYBusGqIds+XRRSIp/+qbtXUmwU+9GIKuEW5rSiuF
89v6cGnwqk+dtueDh1pqeEPU3Req1He1aTDptKlmc1+V9dLyMf5YStTGC58ZKHQGGfvfgFyoGifM
SuOvOmWpVxQKL+M8K5aoFMlD2BQ2zHuSxneh8DvmNKUVnFV+Vbs9vIcFsrC4Ltu0m1ltVc4R6lAz
A9cDBW7TBrx0Gyz9WapI5dWFuJa+EZgeQrk+haUGt25mRrbDNUv+7FJTnuNKFHeUaLqoRWTgubLT
YcXtvJops4uGeRPzYG50nbnCKmm/q6AoqDtgbYJjGuAmmHc6ymFytO2sD5qaz6vcl16iSXqawVcd
WICqHF502jAnUlFkuMxvmcNy2g2OpRPfJdrI0kVlx7PAqnvzQ0uQ5YWqMsF3hJGk50S3Qi06wroL
Ox6GxP9Qt6VOU6cPkz6rHqQvMR6+qtboWCodUYEpz+9xn0aaVHBaZl0X5pWOdRp3ZyIsh0Ujau0v
0yoMCyfCSX5nMoMso56Q2q0BA9/pS1NA1CtTzr3M92E91EkMgStwIIHpVolG/jXwKDbLT+OetdLr
u0ToC1tpAiOq9XOkWreGtXBuGzLyrxuYOnbglrzgMOBIrNJ5loSVcJISFi9/1jWh7QK7gwR1et/M
LDhczU9TV4q69edtwpJ0pnzwCuY0C9LB5QMFi5nh2KrdVFZG4jSqD9SNCo00neVByL8bdcNC0zNz
rBehxWt+RQ0/8M8ywjSjkZt1qhz6UwWb+Cs5KwLJ0pmvmqGci0pl4bxP7LQ/NYE0KVyK+yR0WUf7
ZFGFZWi4ACv+YhTpgDzYyBKnHvxnGtdJZBoKXnmWfYnSVKRLUgmdzGKp7duh1oTMIyPH6Fy2UrHM
YRJLvfCrpsjuYDEmZ1Ew4HheF6DBLNdJMMw46gbh8qgv2suU9zC0DZgqlecjVJ9VhNLEC3wS1B7L
GoAzZAr8k2yIyLBOYsgPehwUSD3Sp7JcIjO0ToOQxbaL47gkXpiHvjfUPhBfRlsV4iby28hySVhG
g5MW0WCcm35izVHhBxTUhRBthno55EsZojaYxcKSrbP5noNEKDIYPgEp3a4NDSDgutD4qwI+tDec
EOYRvkJDFg6hwxvLIB/7pMX1lQ2RS+5lotSXtM5gSQoUi0FApBCRz/1QouzrgJJMnpV9mnRz1dIh
PEc60B+tCNMV7fzUdziCwTuvs46RmbKHEJSvERB5CSlj5fLWn4UoLL8mbQueRRREzZ2idvutqCQ5
bVgb+DMeUxM7GffhPjTJo26eVQ26GrqCWB+Upugj0gZ8o7UNxV2NetbNGpxG4WkFFF67zFig8HVo
MPE5M8vN4IyiUi1YoqS66XpLcxcCRMBGthkoliswuuewgonPQPbC6AZqLq6AwRNdvtRK+PgmqiC8
u8U8E9ays6K2vtSd3jifsu9uaGzY3SxvU/jTeT4MDRCJqR4WZsw2D79RvQX7BHoVKbqyaAZPUZcU
XpWM83hwRdzA1CmSIA4/ZBWDKV/V4BUEcA1sKtaZvC6R1VeZQwppAtxt1dWXqSEL5YRmXXbzDnoa
kVnflEBaws+qdOGJwIB0Am38ZJ2ln3047uqMNyEEsFzSGMZFH9irNiOgRldF/S3RnanOA3Bzo/O8
yOLojsNqsVCZia5KEZRfYWOQXTrSkiE+y3kg6nNf5kHj9RUrgRthPVkUGF6ra7Kyv4+TmN50tTLz
09Lsm/hLa6eBOk19I/3eD2JjQ8IykR7EAZzMQtxLNS/sVHwxTD+dp20BTCqzNvxc1crbMNfqXKRx
RD2KKxyA2YMD25xGYvG5iowmmCU4g2kyGD4RSyvLUblOwSD3Z3C8E8yNdmOxZxE14I12wLjOYJFp
y3NU1dh2fZHoBlZa0pjgepfRX5VoxEejBzf9bBC6Qg8aeBHlpAgx4A5aDLfqUiQH12oDO1gWAEvr
GrGw50PeNPqy61lyFzWqdDhTp1baNfR0aG0AJzaRGhZFEuf5ZWZ31oWhTSufyTJLm/OgbwvpcqpS
+RE8EfVgigzMCJhO1TixVK1yRNvwElaBvrxLghKFf6J8ILxxBvDA+k+FJoaAmym/mklmxMGZ4Rft
NxmYRuMmTNnxMhQm+tApwx8WFfDJ4SwcahikIdYRueniZKBXqV0A/1oWjWlfWkhanduDd6NmrSwA
tZZnYeBUA0vBdiiVzFBHusprEsyrxcCBZnBiqwuY1/u9qVy/UHb5paU9+hjJCsYarHTiM4z1VN1k
IkNgYHEhojlPpd06Xf0VCKuWIyeOG/aJ4qxsvZYG2rq0/IQ3t6WvRAWLO4zoWRESQBMCh767CImO
8wtWFZLc4M5M7KXf5QKeq+uM4DKujKL1UuWDzQBvrNaXSeKD/pWIg7mSPJZe25nmsi8tmPe9bQOL
YvmSXT56pc/Zr5unaOYpf/OSs31J4U7hgi/D+ypX+Xc9JoO3bvS/xhhvmnq8cOL3MMbAfz+sXjIw
mxTek9gPPmWz/XDTaJHDks7hvEWITX7yKVDtyoAaAaITqGSE4dLf6TgB5VOwTdUC0gyoGLj0g0+B
TB0cHmQySuFIZqjPsN7Gp+zEznAMLLSpAZsCLgcceDEKLTNE/LS1ZX2dw7p+xhNhXVZZd86zpHRp
XX2209QrIx2fZjlLhrXMVWl8qPsefLwhdMG9SD4IWWSOjvsPOrDOcpXm8zIB8hQNPfACMTIWYdJY
jlXIeRA3cgnOp+kGhW85YB4C6YqmzOYpK5L6rg+Kr0ICtWlAQtJh4AFEboGVddZ0xnBGi6yTvtvz
Pjyrk9jrsW+caqP6HohsAErC9Bc9yiE4QrFYJnXQfC4E5+cYEmyXnGTg+4d3RU1kMeNpb84LxEOv
qQzTY43IvJwMxEuSEDvYFmAukDiPWaVnZYBcqrGe06644lQ2TkNyATTv0DmGr8GlkFl7WrXqCikl
XJ2VX6s2uOhRO5PAcmOFL00rOG8HLR0dFbUTgikEIpq7ba2AFBUYO4FvAJ9a6eC73+b2X/0QNT4k
nkrpQEwE7qpU6FRU9a2MyR2PzKxeFrY09IcQZeUpRDVuVkr7FDJVKruztSkqR9Y+axzCfGtBUNtE
DvXp99iv2+Wm6dWizuLYG9Lspo/UlW0VZ1kir0oTn3NtzHPVnhmp7eUDmJoyc8xocGlYPLQZvm14
9+0gJuZ/zXhQyLP/yniAF6/XY9PxJPTCdEC/XRvIN3PTm8SGutkXpsOEjugMetMwAowXEEY/qFio
6oLjTYBFgEJbaIJggwn7YTo2jZrpZr5TSLs/5v9/5Ny2VoJgnT///JL8JMDcbtMqdEN/2UDsQnER
7NTZ6PeSsGiKTkE4Jcm16izTHbpm2fZW6aGIECDsyznk62un0v0XhmFqqcC6rwi/0KKPPbrxmKIO
Rqeu5Lluc9PJzOzSiMzK4UNRe51qriDHrjxLVJBezetvvci+yjCYgRt/G1vRIuv1GSb4tiyKCLIk
fe0IMBUwb/FFlkJAEhjsk4pF7iYi1eDL+J+GPPpCIVBzwOPtXLtLr2lArlFrz0SZn7GkXMZ0IMuh
8Su3jjF3G9ktgNSdYV58B/N1W7cBPcsCfwFZ1W887B2hhs8dGDzIeKfYIRAUObaVZh4pfNfsIF/G
Cvm5RfVfcddYrozlKa7zzCkUgwyShOhaNzpzw4JcxWl5lsQWcdqq+l42EjmdkWt3SPh1mFaF2wbl
dUSb4qxLNTggoR94LM1j8LGqwBVm4F8pOzc9CHgHKEywhu8cN/FVY7H7IYSXW/ip/IDBvXGkqtYS
TMRllCdLKgxwL3DRL2Sm+LUKu3TGWAuo1dJyKigXcOO0ayHkyaTTRMhehA1k9uwKvEOrY8EHMyBo
MRRR4JQB1ECkGQkcIDNyJ0xJMDP7JDolpEtmRhjiRSQ3NOUApJvdgVNs5jn41j7yUNdDwslS4dwy
C39utSSZVanGC52TdJaR6ALM3Pmgo+s4Q0vdB4MXpvy7PwATE7HUmhkqJF5f99EM+axfxHWQzMxI
cngRqAe7WoqFjmxI93VVvRAYXNM0qIB3hKDuFpJSfFEXVM6gyVN0apq+7zVNQhxFiPEhgQ2KTjrA
k5adbTuhbdpzHhjajfqWO30eFDMDQkXw/eLwjCrVLgIsP/ZY3dS1mc2kwXsn1wUcJqog8JE20BOl
sM4KAcm6AG3o9WHzikKc/dUqGn3KIC52lBTZaV9DLgF3Qe4kfoauKZcQ+xWDD/4hg3dcGfUpb8Hp
k63VQvRehw9xGjKw1cyfNUFqnJo6mtc0mfl+JoBUA1IsFVnlAJOSOtyKaseA4hmvKtLEtZvI/jCg
7kPU1bd2m8YzhSMUuglOroBZ06cQfH3X2fBNQxnMXBeodhIoxLgMwZF2SWd7SVXaS7tv/QvbYM2C
+5l1i436cyhybXimrjt/IXGHkBPWxX0LWrHBiCEUjRJHcVkujLD/iIwWzTsZ2K7ZiLMsxfasbXvk
iKaG1Vz1TgFcLBBJwSzMMuPs/7J3Zjua4tgWfiJaDMaYW4Z/jnmOGysiBwwGDBgM+OnPorKrTtbU
Ut2XWip1KevPGADvvdf61sYh7qEMgiejqzFFH/HY9NUpqtrbOdKp40RXOnznkX+eFDWvq6y/zXS8
LMRxkhZuZcbmab5MUFEOcTxWSTnAGC6ke/Hx1UQnzsaQ7z1Eh9Sz9ZU7u15i4ujZMmjGZWUZzN3m
q44gJENnOqpqvYM3d5nCEiKnMEHWNkztZelhsDYizJZVLYkpowg+UHNsNUzzSAfhbl1xCb2+uZmc
4qFe+LurpreO4HhgAJOySA7ncvY+FklprmUAjVKrYueBLvHKAEI7GXJTaT+JrNcktTZXms0vE1ZL
ZpFDbuMlYolqovbIwhD/5ehWySRrk3ajOk+Ve8B80qaG8F3lqv6mjMc1qaBBJc4SZ+MyfNOcyiQ0
ZQaJkL6hfWjCXLXLVeuPXxSJju0UvmIsCY9l4yXVYD8hpkIyVMsBP3S9Ez5kzsazWU2ja1HhlImV
k/jDnMrYUYlR3sHp6WGd+6zySwjP5XwHtuxS+zpIeVl/jiw+RG1w7RXd3iH9voBUiGuaLrWHfw8/
BMinVJfTd11Gt/Aextyo9Tg2RORTVKcOkXeQdxzUgimtg/UsxvquiZ3MK8VjDb9K0PYQTXWbTU35
WJdjitl6SFquo6RZ7YFDvi7rlLngonTsp2jjv/GpXRPUMWfda+Zrdls2sk4L2t675TDk//ZGmJDQ
5qCX+B8oToO3pA9/0RzhU781R7/wNthe/l8u8efmCHs10ZFQ0DB/GKvAPwKPBSa7sc5oXn6yqbFk
2cOaCVhsP/qm6J+MVbjwf+qNoLW5aJC2Lg1ve/1Db6S60Mpw5frGrYNHqfSDDxquIfpOLmhXZkPE
qXBxLHvkUK1rlTVS8h03dE7HZeKJ23fQklac7FA/712Cg090kZfMZKSJtt7d6PbwOGP8XS0wubyu
Ou8YF4OfdKJ+GKK2SmyrWOKp5crpXYXKXKGJsMZJnSXkGTTsKq+N76A/m/trt20eI4xcV5Gx7aXy
/TFR1O8xl4AC8etoTzRGImbUnFKBQmSH9lG0DPOS03SJO+hj34U7zsYCpxQk0og032CkPcOEcJLa
Dw8qcB4cK72E9/rKbnqjDYtPQAZV0ofTmg5qztvhWHkXrwi+GvExBOkYFwel0OjMZoKpaKcKvxFZ
Z229yMy3usu7tfqYLUikZRy+TuN88sZuTmIXP9BgAE0O7HZ1oi5Z29yxl2n0Tgth72FFj8qtSBKv
OCfjKLwMxYDHeFkSYhhwgsW7kXSok8Kdco+5uCRBpJOxKPQxGoibwFq494uZ3MWO+LL47Z1uGZTF
OqjT0hPezu+Vn+jIeLuAgrbquBrzWg5VxuXsJYPLLn4pjutUkiQcRFax9n6RGlSMnby8D+CFMo0B
m8YwqSiUybzoR/NQjC4ORS9+KRxVJars9r1bnbSMHklsPzynaPfNKpMRZE5lRJwpX8ikgzmRdKQ7
zK7xUzr2J7z2UuP69fs4aKpUcq91bzsytg+M9/jCgwaxpG4sGb6UalZH3zi3uME/YlWqZEAfeBLS
ex16czWg18wcdBJZOQfflnn6ZqJ13elx6ZJeM36A3/HZ4BFFu+2LVGIK35Xz9BD6hT43zD2Zqnrr
bHy2vYf5Uom9mh3gkytIU5e5u7HgXqIkn5NB6+uxsnh8zKMo+GcvInZoAzhMldM8cBtsGOz00gfR
UfZjcWChOmHKrUFq0WbHdHukRfg0CFec0G7TRFb2AX/nfOlNaCA4K5WPBR3SX8wFM8Al8uLt4i3B
mrqU08zj5EWrakiNnSZwsG170v60pIuDgi7WEgCtrtGsL1q9Fi4vDq0Qw21FQzReQZ8t7ert2NQ8
Mx/EbDEK6LkV2jxflbhAXZvzupqgLcsST/voH3WpRKIqKrLBn46uZe6xZ+IYebzeU3wvSU+DNQGu
PSYMmiT6H5uovj2QsT9UDs0qZUd4fyO0k9rx8KSRMYX3sCQrEVEWFzobiQf3CP8HRfS2KuJEafPk
LdU5HKaTCtbrmAwPJjJTYnWzBz0tk7bhNmmld22W6alUYZvUq7htyHQni/mZyeVKN/ZVc0jcEuxL
0qjqGf7wiSzuYdX6cWTUBSPdugn6/iCJ6+UidZ9H7qB2zco02oLlig/BnWxXUMmzl0d+d/KnqU1W
PX0nIX8vC+8GJvw1mIHbvoqAERr9yXm4oKmxr7VAT016xnIYJO+6iTDZrByai989KgHG2+lUbmrc
NYBEVvkcTFV4KAltgz1yjH4uFOzNsFT/0rQ/cgob/Pr3JRyo2QdW/H3ov6ji+ODPVXxLn1EKSRP/
QIH/TeLAPs44RKHG60tQsDeW9Vd1lP0nRIggdoFzgEb5HVCLhcubGoHFQYA9Nun0H5Xx4I/gzbZe
aFvfTCHHYsNvtEkgP5FFbcEwCxqmbly3Lg4dRn9RgOccgvk8RWaFhOfryzL5ah+4FjfSMt22FcGU
2zafA/FVph19wIMS5nEwrGkx0yCpiOhTzNcWx9fsZ2JkThL11GbOvDS3fRG/iNDirBmCIF1ce4an
eBlCcmAqxtTsiH2/di+cFSq1PbuywwrpUElzmOrxVDRVDzMjPFlWNklBoivqk6cihOw4luwuniOZ
tUOJ9mH4wIthWlg3xbNpwi6ZgfjA1I5MKo29om30snB4n14QvMa1eqGLOcfSu8xR/eiEzdXI5i6F
zfXUDhzzggdcgc/nyJL7tq12XuG8+eWSFn2xQ6cSgTruLl2kXn1GrwPRVIkIl71ZcIrgpvgYazz/
7VKLxInGvKRWgNCv6ywYFgo/v19zxtopN8asIFaam2Fe4LUWwUEJv0xQeq7nGmdVYWdvH8pxV9Ee
FdVUaSi9NnV8extw+sUfu0c5rTt4NU0SFO3tQuhuFc2xhPWZIOxxS6foSfS8yDuyvtISGnY5h12G
Fk+mdVuqXVCuOmv9CKqVvRuWNtp5oj4tXv1N2AbW2eg/UTF4sPp8nlIV31Qm8q9rHh0WVjz010Qc
KdoYYDJnulZViojMrowMeN4ettZoq3wMRgObi70KCsFi6ls/qVW5B72NWEWjvsiIqqwawdD6vber
GUwrF5rYuB7KFSpv01SfwxB8wx7cbxDVikPRk+vN8FtMXwDSMk1erTV5DkIJtmFlaNV4maq2PzUh
PdahBxdd7AZWoAYCsMjXZfFTv6Drnv1C+7bhNOazce7Kbv4aWzkPaehCpHfRUNieaGj2/Yk4vZ/2
aDpiuhUyn6NJZRHLEFg6+FufooblA9b/Y+kqBBqa3N0MAdy6uI/iFxWYIBVbxwP1ps/LuFhyGU0w
HGBvYRpHjzTW6HuDsL6PDRBGnwcJALVjG9MLN9pLmq3XqosKz0VUTzlDb7wLtp4Mr8Ryd87Wp7nw
EM8rWjeOFi7YerkRTR3bursNVzt2Gj+LGGd4pBalmaCZKFx7oxSelGrrFOEi3HK0jqJx3azbukmK
trJu6fuINlOru5KQLhnQgTLW8ONC1fXC6zkx6FJjX30lukabhP61IU2XR1LLzFkcmXVbmzuHW3Pf
h0UmrLNHF1LZd3/ri4dLVR01euVS9Wvac9wGpuEf69ZQ+2t/xbcWu0WvvXTk0HrCgdwknp1CfpMT
Hhm/Vbi30anrGKj/1rrHINJghNaPAMO+x1t/Xyy474Kt5VdtkRPwcInToZ8wRd9eHH8JrzwMC07Z
9NeLAWgBFKrKo9jybNmmi4lzlRYDJg4xmyszSIZOGNNIHZcPYsDdHJLCOw51JXLCccWBXwBiXO2d
4h2FZRSgL2qMTTuMPUE/TBDp8GAJ2/PE2aYj+BZ8Z9axylQ/koPA9dpmKQlaCTx8f9eQ4Fxj3HK5
+8i3au755sS3+h5Yu5SJVsNQ3XSLN7zKONRzTnVLq1RP1XmaDIyO0QSNj0aVt7C9Sv3G4kKQy79j
/Y+xHrjx/+gJsC1Mf/xFQ4BP/dYQ4OUoWOToge0GVkq2gvxbQ4CFA1gowRBFDAmyij81BDHe/A1k
HeHWOGTb1sD/9zwQvkEeBj4rKIFt5o//SUPgb1md36Gk8DxcD+8YjrCbDG0h2/78p4ZgmXkBdIaT
G2m7aD1aqhrk4UQw8htgGUHTwMNw/APjm/w0iYeVFCSRcNhQNiY38TgtE1CyMp/ikWQ6bNyDO0vI
kUsA08GoD2+1RQod8cP2esmaABj1oOm5bgpQMby6rXqwCAUf867RJDEMPARbLaTQGGYJwjUcyKA0
yew0JhfDWGeCjucJmbvEi8oX49G7Mmj3tEZmTi1Za+y+7JETMm7jYjBSdxbdvKLqiAMwTMpaAfUa
HVgMIDQgktqPuBruKO3dwwSBFm28f+u7Y301Eat2gKDazOe1An/Yfw948TFVyPI0TpSP6zcU7TAD
g5kbJyiyummvFp+8dG2BgQ/dxIFoUKforJCn7DyRBAqNlmXxkHpmOQe2rHJ/sN8mxneTMmcvnvde
BPe1U3sd6HwAJgnR2kAg7mQ6mODbCMVOzphaYjeBAXVpoejZEPDkVHAYpNGYGqh+bJP/6ro7IGiY
L6p6rKEPjmN71w3uWUA3BHUBdids7gwu6bRJi+5SDu1+dDy2Y7Q7eWHz2WqB4T/iF0jXF5B0bUog
29MTmtXhzltga7xXQ134uQ5U0d45dly7feNBSixc6b7C8I1VQo384ocBNPBhBt4yfYm12EV+XKQz
wx+X0/wNJVGnlV7ipDHLYVzFNWk5y9E5rrt+FN9nB/plxdY3pHAfR7vcecZ7B299cpV9K00VpxQ5
zDwqyNfSX06zW6zvtehlUo4dCOcADaEBXRu6mCTD4Q6Y0SEamHMB9/u4lvix4NJDFirYDV807H9h
MZmF2SRG6MSSxvlIV/dgo+9epQigufHZjCCmmo74WQ2CTxZxsA+dEkAu0ObOCxH5MkPqKPGlkL1N
62m1O2QfOxgsxd539Fs5q4PCY5O2rF0SEIywAbTFwI6gFzK1x2UmHLKFc7ty53UY3RPtAg9ycvUU
clGAf/QjCDYYlwFUg/c51JGMIISoU4vTPxGgM6eehYmg8rsW403XkA+j4WPUGNXlWl1DwDh3AVx/
tHPnFihp4geBSSvMuYMoRVKNZt73CzChUaB4+TEW8kj2ZiOVN3V4dHXxFsige7AORXsrGCBqP3yK
HPGwQH1z4/m1F6Q8diI+2qU/84J1Z670K4VlgvDBg0PpUQTsxokRY3bpt47Y66YZDgivTqmlq806
r50ykNj3xsByALxWTOV+qEScyyVuEzw99F0bfRR+Nd1zZgTg6XoHW+9MRy3/Vax/jLs+wJm/L20/
3p/059K2feq30gbFetOjMUluFWnz7H8rbd72jmXwzggCIiq1Oem/zrpInML5R37BR/xj+/j/l7YY
f1+IewAQC/gdMEL/xM3/Ja3yc5oFlY1EbogXYGDcpfgufl/Z+AQbOuTlelO2t8GK0xF2MfC2MX5a
rD8n7go9OPbbC9Lk92wlnyvEpTRyLERpAbt0LTVQxDGGIhnfAGhQUMfoZyzkVT3Fz9b2T8Hcfp+m
Ytc78CLLOHqrO3SgTFN4bDPQU7+5qDmYU8NNnEgbXM9uL9KaupvgJZ9pQe0uULRBEe1TH2UGo0X4
KuvouVjtp8NZm3IZH+Z+epLleDvE5BpRHG/vxuwB7PqTUktxzc14UrOBJuzos8cqAKetwcOg8DNb
SLEw1dh0nJjYgazgSRW2u1Y4L1NXpvEYJqEfX9cg+i2Q0qyN4LXyVnu5hVBflf2uZzXLQKUmHvG+
qri8gRpOkwKbCvD8N1lpeJB6ncbgjsE2rIIyRVoTgdXWqfLYCd8aK/2czjzKF2ThT5Eq46yfPeh0
OA2WSG22pclqpEcyJGuwHwC8YOBND3SFtmWH8BnCbC/TohzIQxxNxRgnSIvC2Vyo1vbJm2dbpYYB
LMpCUFibbzCa4RpcbYW6IYqaZFgP0CS9KS+Mmlzqde/WC+gJQ3MkQmGhF8V+cYlJI8v7hIfeE4k6
kzYR+dZV4VXtaqTeRvtuiRQJ1bhxBJ+eALS/l/W3gYenntQKQ4CG/j2dlyGqUlq1B+W7Ti4kAg/g
Va9iVzWpXIOzEO7LSuip6VDTm3D96L2wfyKNvi8acu/BXZ27+Tj5y36pKn4oQ4yCTskPKMeYQvrg
vE4YiGKni46rsyKR0LBnxwwsob2zm2N/75YGAwqkbcbno41DCXUScwgp2iw2sPkNEiNlCWTEjext
6/NdMGF6wkoBjHbTs63rlzr0vwMdayBM9K8uU5eWy6c1Em9FM9wuQpbpMrKDbKGNDi1i10oc+FJF
aU2ANizjqUFpTf3KvhqYr63Xf4xriYC2f46rEj5l90bLecx4MNcgcVsozUP9OJHhSejQJN2EMdWN
5FkuaAit1yVj9NYDhgfAQa+GLrq3guzdgL8gTLjs3XVNm2l6D1lxj9zGLvLam4CEN0vnxnjGrH+p
GHSUnrYXKxFqDIqdbL9KiUi4Gatcz3yvytlF10e8TIXrbUnDjGHUAuQ7wXqI9KudsEeDU/8DZEcL
bUCOqQt+z0PvkxizPlILbXhRKKPBED22bXFmvftmmbiCMnsX+M7ec2WbxH38laM3bmKG2yjqj2Zq
cAPyx7qyS84r/1tYoacujfeI2/g1GlGJPa6ux5Le6TiANLFiT4Qz3yo+IwuuPZLywo8ywdswqamI
MbcOHlqWpb5dZXwvJc4VsXb9kRvh5g3ovV1L48+Fj4i69bfcG9AJRnDO9OzytFn7OB+q8NwxTW6B
M++dVQmoCaavHrrW+8LXAFSftGCO1CWwxafXemAWpxXES+zko/SvxVhUie7AkK81a3exxPZdEA4w
roXMBtmBphn7OOnGGL+BOIKiH9ZDyslwsV50xj6UUzl5RyHG+6EwBppScKSWXC+Tc1YNfspS9lk3
YkAOrUOyFWHPSjRTyiLyr8L9X4Ub1O3fl3yoYuMv7y/Cqtw/F34Xn/2t8HuIQON1Q1CyPbxlbItP
/lb4/f+A8A1/NZ03WO/Xws/+423YXxxipQNS1z/PtNiN74HYALf7w8f+ZzPtxiX+YabdIqUQt5H8
xf82Ef7nmTZuIhu3sMJualMi/JYOvXJP9eKRUwtkrkor2jytFR7gaHEurIViVIUNjt6KZqJ1MNSO
1eNSjGfJlgfjLpeVw9btBEXxmRkCDqVFbmx8npv1OmqCY1hSCExcodJi0cGyoGOfaLpg+0RpoZA1
IKUwZcdQZONlDxH8e8CKMZ1/IVFLuaaA6P18kE6P6ZDspqpiGLYAmmBaelspHB9dkzUHy9Jk7tA9
EgrPjkyODzW4SIPOuuk6jzjie5MOLX+pscBm9Ck8aK2zsJw/KY6yivdNFnrRF/hMZWpo+Ur7ReMk
osdgYRgZgFohifVKC7JnUWdTPgc7gTEkCXRz8KkJM6PYQS+gp1diBgSYls9V8c9mXG5QA3ocPeNb
6cZl2hC5l3I5AvBqd94yD9lgAMewovtauATokNe+diqE4LlxRXwav1Hu22st14+yC/kZWgGioKGP
86ugudMy794HX5hhoZBIyy1yojAv7udZnlE8DQQtOAtgdIZxh0BraklUQoqL1K5eAzetkSvMGepu
UsQWKyb8Vl+tLlsyiTltx2A7Z7x21nQEegpjVgqgfQg7rm7J89bV5Rmabr1n8Tw++KGxz0AORKZc
BISkrt0rGLJYOzJL+aYGmIMAougrFODmXg9efyuoXx6ZNyyXPubQJddanRDgGcCqEVJd+Nx2W35t
uUyDrX1Uc5d/Lqx0GAIXTn9sffdOqtjLhZi7JxQ7YvYcqf13p4qL74RBC2422noe1ymXALDXBj2t
rmCOmI3O1gOSYcC1R3SCC/DtHhi3Bs6NEF+cOv10PWykN9+Y78g1cB03DjzaiHACNJxsjHjfuMg4
b9Q48HEEH4tEbkR5u7HldKPM0RehdG7kebQx6OoXHN0vH6IffDpIdbUx60AYzXOM+OSRQlRLxMa2
OwyUuwbuvmzcO9J12bKR8P9Kk79IkwSEzt8f5j8WT//3nXR/Ps23D/96mmOP3kYXQZwkcbSNZD+d
5ngnRYQQBfIaeCENevz/P83D/+DoD3HOAueOfmxl+5XKDhAQ8anLggBlwMdf+0/mOEinvz/LUS9c
LGojkR8gchLgu/v5LA8EKEqcfORaNO9WXy/L20+/ltsf8+DP1Dfx/kQ2be+iD6BDYSkA/Nk/WqIT
12SE5z5dI5+b+373fe0ILK7qHpuuvqOpyoZqKDPo8CDBnfaIfUUHBNTQ1mCFGHWoAuYR7NtoODja
fazgNmG51VenRrzb3wDKYUn1KBHOE/UNxKtQXgIz9sEN0lcK42hpoJj5QRqKvlkxDq4W1cINj4vQ
/Psculj1hVhWto5lBL+prL/2/nb2IAKaE+3DuXUL57UCtpTFknyZxNLsRi8qUowryNbFIJcLj91E
XeTkNRte46EIcmwW2CAaMt9W4BKAeatx5w1BlSDfeDZD+S59/4Iyjj1ozXqZC9Mf6lYd2na02NTW
w4eo99Avr3DCB4m17bvjzhh0yPK9kc7NCAAFnoe1u4mwrOjGh6hqEsftjkEfv0vXQRB8Oo2dq5DH
We8WyU7ogVu4nUPmjfLUR9EH98yM9rs6FBAvJ1l+jGCUYLwgdROyA6ywGwdbDEIs1xHcf0PE9xRP
EbanhRfS9tDgfHNVBzajTYCdP/2Brj2qBomfq9ICnZf17cDBmmsLVL9037reH9PVqWD0kcex9uQm
r8oEZPcDtGWVCr2Av2Tlca37EmNuGGI4onu3LzWwMvk+kTif3SHFtdi0qNHsUPpOCzzvmJgXooJ0
FuE11fRNj/ZGluReNLxNsLthHxFzJebhqNYZO/iqF2HWAlzzfKjNfBF+/UA91SBmU7+gcD2DBn+h
fNqpAUqsDZHDH94pGeHLjfHeCfSbwg+PoPuC9t1+hZKQY3BLMaVmgVwu3VwxOLCQp8mKyQ1rmWDK
RTwpaPSOp2BXldVbwWFuLhqotTNNuG3676uqDgzDEgm6dyxSenMc90FHK1x5XmVmiVM3rD+t5HcS
YCxGjuIisRNmD8JVJsSJHgXi2n03CQzxmA/cpvmMPeT+nE6YnFkgemzR7amESZ45nWeykD5UMXmd
sIhk5yCCmUD+xtNTzQ+uV52dqWNwigHYhv0ywF8N7xcGOX9ap/psoD1vdqfO47qDgUhQw2dNrwu0
Q3kZ0meXsiKLe84+EUOHnYBGFtRuRyc83wDsNOYgB9JqVZoSYY2SXvqOgqjDryIJZAfV3EHKqKqV
yAAeDdge4bj5aDGyYk+LvFeMgmBqJuir4OKZWP1k7IfziA4JxJoGXLyQxAtgHnp+rw/YrVblRTld
KNZHJlp27d6z4Z4j357bxfeSidRdrsbN6G3K+ibCyirY9o6+gy9ZpJx3X0K7Pg88+IgkUlOBd1UJ
r0ljz3GytXYuXIJV82ovhF8TLvARVPOgwsnZNAlev0yyvZ8N2GUkdW4IMsk4WdKhIhmiNsA0u/Yc
9REORGwIQ34XHDNo7Q7wIc6oU9HzA7LkAPPAZNnxUlfOXoTiyq3dFzmYNJjc0xwD72oX+U4qHkKT
QMvLOEVU3V0Sjr09n92MHhZCGrAEggUWj9Jr5p0pg30AnQi5ip6lglmZ27IcriyT14HfHSRkY6+n
WA+JtnppQFPZOcxw5B19j095AULxWK/miTrdY+M3MDiSqc6wJE7k6JKbGGfOBJuAqveWjA7OX+d7
r4WLtAUASXw5ggQBJTcqqIG3rDIyB2y3NPuWNOseR7944T2+gj/Vj20TQNBA9TxN61Cd6qq4buOQ
IuQbsCPiNiIhKnoMe+yRSQgYGqxY0z2aZ853iB88Ur4+sja0r1hOgmTCpPQunAovieZlN2JR475z
DciCtUfgBx9MEFGZXoeyZrutS4KzUIIdh3szHojBdCznbhewBtHZRr1R0x3budwt0QqRAbDPGp1k
vz65ospNicy86sTTVPswi/r4jPCuOSqnGjLFa4wjE/aodK77BiApyIKF9K8T7bysU41FPAc3eoTQ
A6KCwau/xOMD98MFNKATp9Xkrj/kd8Ro/zqUhSnzp/LPtsgoNgSh1QC2iiznNk/+XP79pqGYlqoW
+zqqDK38MaTz3Tzo3f/uArb86V98HRJGWFMT4LH/w8g4YS0O/DLRXjd1fQUF9wmn0i1rmncclwN2
u8S4AGt9MEsHRkUetC8uwvgJ89szTqpLyHVSxfIO2uA9vMQ8EFgCEI9gevg3NVED1gOrVC27pm7x
8b+/9b/8zpGbBbRDsEzol2H4JwM3bCZVjrHE1hvsPCzWR7fCmhD1w+D/28sQ/54bw3VAMI9gJxSE
e/yOcKP//jroSXbYXIrFYFgMopFmJcdA4WBwgT/vKmPCnDvmFSur1F0b4x6M3ePM5m21YIeDKnDv
bNXsBNCTu0kE8UOLqgTP89pxvRpPyYxSDsUwCVVxXcJLW3iI37mP54Y22Bi4xqG9D736Q451CuGt
3NsZUq32aC7qUuZyDL44g488KzQtnEpArEjspaoPkNAaZIJShNZG0GNv/W8liT6WKISM7IK0iuqr
1SJXGmHl1sH15urKFV2T2GUS6JvGEvmzKoJqWTzzyWse+xkIS+wVl7DZoBPajQeKucoolDivg2eA
vW155/o3kD9a8COIlnlBfeHux4TBPoyOOBffmFM3eMq9w1qRt3pbttJ2rU06CNYBsruWoPVALFhm
UTGpbHGawzA2IWIny2lyzYeEpPFlrcO9SzHSR7W48pWtMab3uzKAWA3x+L6htL6OEePyqF3OfaR/
pOj/9nbw/vJ+wAPJNnjB9X55denPzyUPsHUFfzZeR57/EcS6yWxn6mvq9BqwtHgvNKRnqNapR5cM
24SHBCfqFX4rFiEpGR3ATF+N2IkyW/8qVOw1IK3Y6Sbsd8iZkWMTImlZlBBqDTMsdxWBCIGins1Y
W5JBlkA/goPIbRTShmH/UDSA8zyhFarBBLQdYYO263fYXYScP/3YAqSp8RR0hQZEm7+id14LGBte
RpH/htqA8NYw09eK0ePM/a80WsCazzgGYBjTdnnkcXWJYOz22B5KwxV3SJdMq/8QGnMlq/9j77x2
IzfXbfsq+wVoMIdbpkpSqZTDDSGp1cw58+n3YHu1rdbqJcHY5+YAC7ANNNwSq8iff/i+OceMroH3
XuWGtdHn7sFMUyyBRSl60JvZC9aD1/bjgDQRvrGS4B+DIupKuvAsMCacylIeJUV4kKKhdmuAgHAj
RH9YBOzYU+lJarMRxWRHRcuT4VOyGrlqisDMNNEnIgwbpQGcc0bfN+tuUBscLXNCUzU/K6P4Witk
XRq6p818zr5w0yG9KKPpzCh0fyxVNzIQu8WF4chWfJlWQroDY+VBY/H0LKDN/cM4EXIu4WUcBOsS
r/v32BBAi86io/aJDyM4dfQWiAg1LUnSYR4pm1ipeUoSJFE1XBw8HpWd9tGZIAVeKo33ZdnhYIpP
WqTaYVT6ciocclbxaETrLmWPQ9X6qPsKKCKqK0msmlkw+h3Le9HkldtDtXazVNgkyA6XJLUNC0TH
KIWj04pMuoss+Ylk2tponnA8bcOiO4RjfVaYYGK7LgNLVCHPmDNjr4bjoZITyAAlpC6liiXAXsk2
Ai4ktJwSMh0AHQCl3qAXN550DWXbyD7mmE++PvulusWVfl+JyMZy8VzXMEzhAT5LIjghQxBQzJIH
xKKaJDlGEhSbcaC9zb5hiy6+dWfd2DYDuxCjpMVmBIOHU1f6Ymn73cz97k1V1uPvu/VBjqw5saoU
shDr/tCe5wU6/4H2zniRNucSJ5bP16Nf+Qt/rhTvr/dhJZWjqOB0wcxQlm8SaLnpalWQhA+juv38
Qiu589c1mzVJhx0hU+il16utK+O7bza2Hd0J6lbHRZqRAcZT68SBfKO1IXyeUmDMofGtqhjDhiRK
5+Yqi9ATDHtLsojeyO91Wkn4Dhz0cioUEwxCf0fx76IUjeuM7RunHqdr5espRLhUdKGfd/ETauh7
AeT7Vding6fRrtjkWn/QMBmysfBmCXsNW7xNgcfmHmjldbVkLpWUfa90Owq9hyWcdxogNthHh4Zl
G0bMIZXR1/TCKqdwEJHc51XjxVmwGytciNmEOVPLnxdx1hxAeI/1ZDX38iqZwlYYfnFXf623/Pn4
3t/UDz4vlF1F3ATmdDSnp2h5mc2vsIBfPLR1uL57aKKQsUcO05lW9nWV0KVTbr8YFp9f4CPCNNfz
VEzlcD5q8ilWMWh1nhjNzucXWe/C39qCn3fJNHW2pET26h+G3mS0AMtUvgWSLKyj3ZizJ7nFyfzF
01izX99dSFvlC0BT4B9Q/GJrKn240JzExRguFUIjW3plUXNvMj9wBQ9goHNvF/b9TneGs5cr6MN3
k/ecefMLb3S7VXaff2F5rbN9/MbvXusfH/Tdc7OG2AJzzzQCENoVHdGbrvtNfomswLOcrPGlDffZ
RyluY8n3LLcaPPVYvH7+KbTffYr3o/ODpiMLWkRXDff9YdrJnmF3vnUy7AuEg5G7udecM93NN9YR
Q9K2uNa2N4FLd3/LvGcvG/C1rUvpzLVc9F9bUJMXkR1Nduje0Rc40kXZaDtrVx6An9zm/vXnH135
6sX6sIMW5DbO4OYyLu3Srvz2rfKrG8mtHWx0buTGHsyYfbk5vZ55/U5zOLAn+8S29skRG4MTgBq0
vwXO3eef6oOt8+dA/msO1T+sDjHA28bQ+VTRzrIjZ9nmm+AGT1MKosLWbTBozmzT/zjWW/mJQpr3
+fXX4ftxVOnq3+/Rh9mGqUaYiQKYjuJSesY4HnDRHweCC75YlNZZ5bPrfJh1zNhUhmHJ6NeF9EbG
V3HajvrLrHi12FGK8j//Vr9/1H99q4+HSSFn8tfqpD9GRsrJ76oKL/9vF1gboO9eRjp2ma7nHKBS
7SAn1AEtw/38Cl88GGN9Ed9dASm9WWBOnY9ldWzz1K9klBDmF0/lq/v0YXJrpazFT5J0x2l9Kkvm
WFPi/N++x4cB1pdL2xctjdpxmJxYJ6Nlcpb89PlFvhhdxodZSQ9CYaY4x2ow6YDhyXjJuosVHmrM
iFtH+TiE8Re37rfPR7MkqDfQdKyP4jYTfXhQxV1/VPPva6oJltFU33z+tX77eN5d48NLk4VWK6Dl
nI5IU6jfX+b5F1WFry7wYUpcQLEoSVkPR5FJm2J0qmRf3KYf6+NnL/6HcQx9xERYxzjmbGDXTrgf
tuk5RwRnT8SKF16Aczh8ftc+WOx+Tql/vf36+q3fvToS9T+pkyPWqAcKwwWz6nnIte3xGXbwbrBP
mEH4H7bm5Y5km5eCfYWdmlX99FiflD2ndkS4OKDsbeFEm68+3m8X8vdT7ofBasYN7I+Al066WBdy
wSaXQd0VkmOnG9W9L+y9aM+H7+ILh7Pmdj6M9vjF7LUaGz6djT8890Fo9ai2ZvYS7uAu7rxAKLOt
Q+ZeWUf9TNn07qPsB3ZBxdZvNtXGdIQvZuivPoLxYd0TUBWpxVh1R8RFNrYEvIvfNF9yjUP/Nm0r
Lz8zNiRMfEfs7Eyb9AKx0dsX42S9xCdD0/gwTlJ8OTgEGJqNP/m1DUpm3dXtUudm2E27XbxuWo5d
bt/TVXdzv9oYJzhGbu9BnLOjp+yLmVJZD2b/9nn+ft21D7fEFCx6QwVTSu2pGx1HhTv5i7+coSGw
X8Nd4KeOucPVYJdnk2Pceia7g8LrNql/HbvrJuFfm4P/16zG/w9BaqxC/7l1775l/3NErcJ4+jvT
4l8CLn7wZ9teVv5Ar4NnWPoXivFd216Fi0ZjRqFi+2cIz08R1pprIYqYjnQOzAD4113qv9r2qkRU
OYAPary6goCLV+YfyK9/XZ80wiMkrM4WpEgQjCohyr9OgtRqkjZbCsKxYOeIaXxmhKmjDF+1B+Qf
/qR3o1YTSSZa1WZ0CChP/1vhHph5CkoqHU+ahnmig52retrSE2NFk7GUwxSQswEgpysvmHHO6rS6
NWTqxBVcB2cECe6ljZTS9dYsF/kLXH9a7bagVYCQxuZhbKvKyc0IMfHKQIva7Lrigo5cZadSjHEj
GAUQ1lqm3gUC11HAd8HXMg91PjkW9DengDbrcuaFG5YWfqAPPiEgndsT4eO26YT7g4KCaZxbam/Z
fM2HCEGxg5X4GivjlZBPR0HQ0IGKqyQSphBRGDvguMcxyEPkP9ItDovMFpFMuvLq30DZeglj1yep
494ymzc5NJ7CfH5sVkNvSiHLhVl/0prgoBt57HP43CIMbzYtpXJHaZrbUg+3samGThZFB7YeL8UY
pf6QixWKHyJ/snKqXKFfQV5YKn0JcbSU56vwKrlQTTRVFKfZUysuIven3pBumzY8L2nVUYaZr4y6
3yAE3OLhFewOqRQfVImBSMA4j2TtWkCG7yAUNR3DerI6vLTK5PY1ArO2V0mQg3DCqZyqaZtscNF+
N2fah6KunQtDjzulAFZX4/GSjPkoj4jhZ86GYyTFfiplJ2DHia8o42YhoSwMg9DuJHVjDdzbaETf
Leja4FaoFFAPbmEqXJXFMrvK0t7FOkyPEPCtrXTZdTv2O5Qcg9so4isbPxov43yXxbEGln65kCeg
HG2UDDB6m29SJn+Txwzv1iRty8zaQe2RMHKNG6h+lzkpBgjh9TNDWQpHz4rXJakeIoPSea6XN1io
EletjXQ79srGMOjWKoEPtAsEL0MMUIg6RvB/o/q5SMqw8RdT6GZH02mOS+KUIi+Z5QboszrWhSsa
oy+Z40roashkyzQoFbPkiAEOVlX5NorWLtYkas8YmglKqYa7VFNWjtgoibRn4tUZNUmxmybyTsGR
K4Hk61a7tlk/YwS8klLhzbR4TDVd2pLRCDluQErZdlBJRrccU2kn5BpC8XE4Mxt8dQJdXC1OgXa1
Q7wyTsdHPTFabwqr8zBGmdxWE+bDlXndnlUJ+VRdux3Hbu2aIlSwUP8nImjw8jzVeWWVIj1hRzpk
grBbMnYwURhFdNNn4IxD/E0fCWpIxkSBcixdAaHfTGX3lmIRdNgQ2IVePYyNBzpoF6kNNHJhS4n2
eUrEp0WbU8fIIFDP2VOmXg9jC9Gu31dlaGcCFrWicWQf63RkqR32XsUbFXU7yIrfSBFWN7ojtLWT
zhclmIrhoNJ+luxuKkc3EJqG/Ktq06Nen8vxsSkT2Hqzetd1onleCYQe3KzKxtBUmwBnQY72590C
c/pzunwvgvpYBmAWXfv4eOjAUmBWXcPe3u9Z27ZV1GDW59M4O4atboL9dF2e7xIOx8/FfeWlO1A9
dnDAxoYxZPNVdWk9hf06iXN5y2DdAXCpQXP79fJN0GuDoPfLaTCeq2BncSi3picB5cvn3/N315FF
SaQpJeqqKH7Y+2J40aQY9vhJis/I/bGz7M0Kd2vH6PPr/Lr6MQdxO7mfrIEUlpHWfTg51bACtF6K
RBoGh0a/qBTc4+r959dYJXv/dtPef5kPF+kjUWxlYtFOg9/ewSPyhq34zXRNgE/nZG2G9lXjQeX0
5e3t0XQz+zicx/5d6wXeZbIf7S263LPO5S+6pc+/3t3nn291hv3b51sJzIaC9ARh3YfPl5Gfgh9U
lE6gS4/BpeiJ59J9uCdyBFc9G8b9o7SZnGPtj1u6c/mB/sslTEefKLs/t7b/3UiuA/g/byS97H/c
soE895uNJD/4cyOJ/hM3Hmw3RWXl/FXNL/1BfAxFaEIdKTWseLmfan5Eo7j7UGTKPzSe6yn4p/5z
pdnIKoJ+WGLQTsR/hKwBgPfLOKIEbvJ7mJlEFZQXKtQP46gOg0kT6HFeQOm/G1f01IAUU2DraxtJ
25xI9wFQxWL5oKlV51haViMdFAxaclBxW2Eo9vRcejSTzNEi5CvYFAaiThOpC0pIrG8AaPM1h4NN
UeN0al96dWANTr0itRLYWuSXoPCfzAhlv3Frwd9iVSl8fUEyZMDmYkIItw20ri6e7gPg46Blq+um
jGCeCbG1lcTwtYD1NSniAbrqkbxUxNYrDoxEWsmfNXxOiKHOsjHezCs8rIQiBtbkMejkfadXLfko
/bU4hJkf1mTP9KMu2vqkvei4BrboyxAATtrsW+X0ppf6m2FaiQt0tXdbuGbWpDwUclnsqx6nGnqb
Z3mILqMVhsbHfLWK/CJFb0GF1HCESC/LuwmvssfUs0mxIG00YhRhaPphCWsyAMGxaPmbnknetEYu
llm1UQlhNJrxaqTFuMUCYGLm1ghDIS8WF6GA006YLoxoVOyYYMeYgMdhTXpUZemHOrWkVz9CviUQ
EtUjWb3dE+kfxB8oZEb2eCqWNUXSFOc7M6Ple5padOxVN+FRy1gSrbNIqL4vfYQqE2SM1yY9cTkT
HFJ1yaZNHgMOquPE2lX1HF0qqXwLLRNQGZk+Wxk31hKmyuMiGjbCD8vqb3o9C48Y5qv9IuYNWQ5C
uq200hsT8UoCmMImwwQAAznHTsX4biXqoGmgOKqQbOsqIY3kSq8mVyuJqhKE8hQmQYB1EPu3Lt6Q
+wQPJQHv13MwyvS92hfcYrwdQTLdV1r8zVDys0CgrY15jqoR4g/bEPpnTIJwU1TlUZCzJ7bXqPhC
YzNbKt2EKNnKIjweo2zdqV/QTSoFgEHTn4vUxZwHYjA9I/6ZvDCB08o8X+dL8V3MStMjokm3UTTA
UE1D4vKE5BVlwoMmw3KNpqss6s7mQbgB0/TUsVxySKBnhyUL9eURH97tVCSHecx5WoF8F+YY7qMm
uCGn6tAl3KFKDlVfqdi3pqZ1LGT1MTDGW/hYi52FWYKnli01uUQvrWpdjQ3Njqrx5WCFMxrDxSip
V8rMd8mD+LJppR3BBA7thH0IFrHX6d0L2ks4d3frcSUsNPjQ2kUUL1ulyZGwxRx42vlB601zk4RC
bqcx/TqmORyqtYDBZoXYBmQtOUPcPDRtvlcsZBIKgdPictcXAJcHZG5OrYy7qtHWBLUS9LSQXcFn
fiGSC5hrirRl0c3NGt7hQVw1vaArWw/bUe6TfrFdVIhOSZUnJOJUztQCzpMBUK8zLrOUVHqpOpxK
hD22jIHV74f5MhRBBkoQC0RuAXPSpTLr50lvvRKgsNIC9FtZV88VtU7QWcITHuYKS8o6xTXRQoCr
eC1bhZ8ZEUylqkU2DQzckrRsmwMikrIOZU3e6dhUp/t+Ca8lUX0xcqARoWyek2cQbMJQEHzO71eS
oTSAsFOJLBvjRSZQwZOKjPhXvfJmBflOHsvqimfwU5i1TbcE10mNIzdupJsiHpA4w+h4rSLhqBPK
gqyEOSKO78douGisaJtr5veFLbDXwdoCBi0C564rwhhbTQDv0S75fQ71PDxf6OeSXz6UHt6zg2Y2
N9ZKwmtWJh5xdk8kgFtepQ4KqQ3LA3Zr1BRD+6J3Qu0sfXNCN3+MgO3hB3+agO9JK4VPKZp9tshe
GqqZ13faJdC9894ir0pfGX4JMD8TqJ8o4C5qVs4fQdwiO/n+RgEBGAdYykACkl4OLR3ZHJ9mebBW
bGA93+XaeInc+sR44CYAGMwBDS4aLqRuxYoPYrHpVxrhqp8swBNKersnXu2gitNtIWMVA2OogzOs
LLXAOcVbvZIOjUznWLbSDy0dE068EhELEYkOc6w7xtW2AJrYrPREA4ximOhE5a1kRW1lLAJapERX
Jbtl5S8KKVFIP4iMK5sR9Ly8Axgdu9ZKbixXhmMqNpBdVq5jOFEmWEmPPzYj/92VrSCE/7wru0Bw
Fb79+5Zs/am/tmRkomCsxOdj/EDzsFv7abCUsFEyyDHk6Dgm1fcGS+UP+kBAgjVkeQQ2rXqZn1sy
hdoeZT0TL+Q/r+1RR/ywJUMjq/D7LbZlWGek1QD6/rhY65DeR0MMzhuylAFRZanlSL0VHISpFg+F
0Q6U3cS5R/od7YkHeTRDdjWVkbwqgybBBYRas9WjDKRPraBtE6u68ib8B6Ej61F5FzYD/kV4xODI
C1zMtpDEOj63CjUbHJr4revFgHWi0PD9t0MJ54/MNGzoftTHSQ1PrZVXVYI6+HWTWPp+NphQrHSG
nNKzb0zjinZ6gmCU3K3mu2CGE/5F9LNaHFAKkvFqk6Bm6/NK8FMSy8+IxbaRDM428QT7rJcuqqU8
tNhzlmW8lJQFNbC1RRV5Bllth6hqN8UBENiVurtIgkZ830AgbqtGZ5WKc6QSTgnipasqMA8dy7ej
h9AeaLhJZwVEL0cWxtSb9SSxG87/LkWzi6lrL4QULdAYAnWbVSANJVMnQZ74UjOmusqJlbn5nird
dZyJ1xSOc0SPWVechJqZTVHZ5daVH5K08lDGAA+IYAuw1ZwPakblpIy+Q38H4VcZbP5ALRNYDpRB
ySG2aKNfmZjwDRS0btPkm6Lm61aZDqcW5VpAsq4rS2SkDeEItaACxq9ord8R+QB+fw19XKV5M8Uz
i4m3kpniY8JLF8UfdHxSc1+pty31UJziJEJhH/ehU8Y4P3LqMgsLLL6DRw1SOdYJwULQVaAfdVpk
95t3r+JvCiG/njXo3fHCIVulhqpTIoDg+uvATsRoFHEYJEcZHbCvkMj3HM3cp3FOCYz47/z3w5m4
thz/8/x3Xn4rX38z/fFDf01/FqRUzHhMVxSjUED9Pf3JpE9pBmp35h19TYv660RK/wKROhbGHyHf
isGj/buzwXRItgyNchG8EZ2vf9DZUH/tk3EeXc+gvFSSBMGG87L86xipy1rtzIhc6Brgrrmt05E9
tWZcSECwsSuFQiAsXlqVo05yAO5sywXmrwZY+KaO6riYS931iOfH+j6a7bYRCiV4rtI8QZI4Fplw
4Eu3wV4iXkDywkUQwpOaFjFBprUaQSaREHj3kD+0hQjOjGREav5GYaxRCrOuQ/zvFIuQjmbuDZqa
pHNGWwJQMJBkiYabeyLYeluHDZXTIm/BldZj1lywBQKD1SvzaHihKZYwpU3dFZeuF940YhT+fM3+
u/RLnw79w1tT/PvIX3/mr5Fv/KFLuqpS5/jpqv258MvkIK3NvNUOqwP+Y9j9rMVoIAZNCU+DaCI7
WJGAP4e+ooIYtKif/JWu9k+G/nqNdyW9VY2omxRqeTfBtOOS+TA9GlIVimQuovonKQQsdtxwTsOl
yAKlWhtjMJ/bIBz9uiJ9Bu5fogoEp5v9bLlGLCePsUxeNQnEZV/v1Lhldk/wGokep7jeANreNOOJ
pvyx7Yd68QSdcgjTf3GZg719FCJrvCRNMsQYFci8Gnhb8eoVZRa7sroQ40K9JnTr1QVC0rKQcx6T
iDVuH/HPJpRIJjb70+Iqvd7GLXuHKZb2eQ5u/zpcZtTkMTRC2etoooCSJyM5NgrEg0Onu8D8kw3h
jrU31vCXhlSXvHEiOFgEq38HEKCX8KXN+uIpbY+vYJYtoC5Zr+j1eWWs00GhVkLLNmfRz/sZlo9b
yaV+Het6s+YdVImnE265kaoo7a5RwVB1AKOUXUzshuRNbfBn0nzLh2VULUgUnMgSdi5RaezqTFJE
778L04+FSfx0Y+4T/1L8rlb6fmNu/oHFCmcm1dJ/ud7fvZ+8aKxLoi7yN9bd98/30/iDPxvQUn7s
vX+UUX9uzLU/6OAj42JNo5NNoOI/ej9/84KCULE4A/B2UnJXPvRx0px8p6kLjCM0w33Y1UNx3o3y
jIshH6qKPXLcLxtzbHG6Rnk43ZVWRKRfaRUEBHVJ9Dgp7TXByLMboUxxxq7fwIxwaZDRMhQLGdAD
e77SSl6U1T6lFFrswR0jDZXMUjLcOhqYwiMpvFcklt2PfSmllx2RYdekSW2tcWKsB1i0OGKHYiwc
06AwR9hcNelYQvg4Q/c5BUEU66com42TVph0QVWIl4qtY24pXQ2EUnGjGwJJyBQQRq+dpKAj6r2N
4rueChnJ5+l4n8pWRD5bWm7jKElmamPNOTHO+7HXrrRQnYncKe7EZeVOETpURtWrvNLFCY0EZ0II
ZLPanSXlJVrjbBtBPeq9DDB8uuujWHMUKrXCILhCztk8XKHaaoU90pxHUL+FoXqSGt3DcDZp4KZg
jrXr1BwvkqQCFirE32TLuMl79U1Uk9hrc26KZnaXBv5iDto47SHGESmEe/ppVkIKWGO8FReap/Xa
A88z84ZXXvbLAqhUQVS6PSXyFvSSXQxD4+ZjvFMinPxaHhnkQrEFaMFPeVhcSN0W571SyZeB3OfO
okRgPFR5W6Z0gGUTW4s1T/JuHvALC734TSwt1+zbnBhyDduO0W7ywnrGrnMA3nRoFTimsUn4lLJY
19iJB8eC/DQFwjfNWvxMnHZVUB3DBjQepha3ahZ9iy4WbXpQfe9KWqZwwFK7F/LXMbIm2CjFA0O6
A5owcDZca/IMr0tV4tjRmYCwtESgoBucMgt9Q0jSRBhJV0El0Eyi1GWLU6M5BMq1DuPNjbTyoU9k
XGdht+94gl3b+1DiWFA0nLi6WIOXK/CZDfPFVGv3UtsdrS6+SboydWKxvcvD6GqNWXYrscfLrgs7
qimKPUTN1WwEN+RnXS41zif8aJULXCu0rTieXakJTn2w4C0KBMA6wmtTC5ErqlW6mTWqR4tkZc7Y
A9EJtRbQjoi/SZ2XPaCsi4RgcL80tREHbqE4OUc3tnzjGYvfN2I8oWOZGejc+FxPsKTGonEg+HKl
AZIUPAPTlXgBXFVKnhuxGv3Z6i6sRn0YhEh0eNUHO5lz3Yl65Xs+9xh5q/KqXyqng5uwrMGchjEt
NqnNEKPT4VYel2IrqIzOYK21tln8ls3yQtXKeNBG7VpGXLAbSmhwWSPv6N/gFDZNTsHk7+mEVjhi
rqr+WCcXcai7upBe5dlwDCPG9hgZIBaT1Itz6ySHBTa9jEI/4DskI80023Wh34wSNCOxEb8Hsvok
KtmrqGi7elQowIVgCwNBflNb4a5NDMvJ8/wuHzvZk63+ep47aRPr+WM5qwdNKGdtWCGrINsMddIv
lcSsDGi+IubuqH4B4UiujIa5d43V6bX6XBcgzy0pbY9heWkU+bE2LWVribBaK8s4Lf1QuGYXAX9v
yM8jBQK2WzTDRwtY343uOiowqZqVmG1nsZzt3kgT5lrlCVP5dZevR0myjn32QaNLnnniJlVVENQi
onoHeYjc4m1Y2C8VGiXfRB7cISiNbZoWljMIamaj0QOVCxuN5KTxFc0LGtJWVbZiMGrHeNJQDbY1
jktBjlxFrq/GgsribJJCIJG4ncbFxHOKyaJRZjfWktmdk6g6z41xN+fBE94wtJACJD/ZIJRvUhit
VZO86hwwiFxMFk8rAj9UlRlTZFPvykr1UyILsBHqmW+adGSYD5dNkdRPjakRGS8QcQZkj1r6ZSTE
Oj672CL/ZGXuYcb3J6HAZkCu1KVeyJVv1NKuDpUzGFXkLOSJuaGBRV4SkZ1OMMzzPur7bykxQX5U
dcperhQiESDMA4YNi21UFPDpxpxnM86CDxSQ3F12V3ZILr2tdcOOoHVkMZKJe14j6zuz9oG1HIR4
yXEr0ngI0uWSgGyXTM1rUzD0s6WlBRP15DdQmD9BsbgpZBRBK37FpxgV230kNFgEu1fMuKQwIrzd
TCbKslnCDkk8DuTMLDp1MUK4YBHdlMLLpqqWA3ztMwKWXBjBpwHslKcktQhqmj5YbDRHS0teTSI3
sjagU2gA7tR1QSOdSiPNxpw9QEzoQZYa4Zc43kl9+lymwilr4uuUNCVHRP7gJQ2ozkat3jLwxWEu
qn7HydJtYpVfSUCjO2agT2LaIkMfHwOrJw5CEgd3rJvAKYP0UOBp3CZTEt7VUUYoUvAI34KeAq+u
kSE7z7tHTRFsLeqO1Q+ZUpe/BppseZKFZsjKs7u+NBHhxYiQZEG4XMRKdIUsPpfAfBGilB4yEGWO
ypqqCQMTmCS9TRyJjT44M4M5B2Y576FOgwxNBap1xX0+w/YsZE6tc56T3qQ6PNB93UoHLcu/CZX5
fZzo6+i0Nota2AZt8oYqz2/7stu0RuW1Ff93LIU7MRHPlvCQ42pteoN0hPTZ6pMX8t2daoAAlzTG
jkzSddSYodPqzX5pR1oqKY8n57if0JOdFsYzhkPqkLL6poilYqNPvKaIyV9mAh9ywvaaTLJVsaRR
ymu3Yef2xA5sF09ESrPTQUym7xcNOGhfxRd6jaTWGu8lhV9eTSXUuOSQ0k7eKHn3qpKjEhowKCuS
CkQjJ62huJMUFjyLc4oG+cOdTeWI5Ou2GUf6RK0IjbWqT1VsnZEsjbxRr696oRlpm2sScr18Q7Ah
DSOZ44c05ji0YavALgt90lhpyi4o7wh5uc6Hmq9m4j+O2HfaZhZDZVPW3UOzM5RoP87Jd1AqsR+O
5sUsJZty2bQWkWbmppkLV5rOTCG9ibK1KKyquYM+dZMkK7LWYCOjLC+KOfr6GL6Yenymyj347ACU
a1vVzyRtETgpj4nGQjw0B16fm3DmMEdj5U6qDGgvkOXaxjO3SphtZYqvQ5e6galUl4Xe5ORdFbFO
vISqSQJwnbIUHQLO2maPGG/MaUiPGMz9MhuE+XLm6RSiFguuGiDrChdjjF3TSuHr0p6bUoG3TWg2
i4VbpSkFXzASKPipMPqxWroqeAQ3GMoHSscc+MyhpjEXSl4mJ7dKU1yPqj75yKy+10lzD/4ERz8b
LyGI8bBp1i4y1GfiwE9TbAHvNsDDRnEHNNbgDcFPDl9vHCQbKufEcrLSd0QWtpYljee3Pjv25r0F
fd2KzuoGMkNWqe7UGcehiy9gI52trEQM+cmzZM1ua6lnpJmzuymrF9YWgn8zcKyFedvGsbqnuv62
BNBHlkQEpjCYIEb6EzxVss0jMOccJWz2NaOrB8W3Zsy3CuHdjgaS3a9b/UytsysZc2zRGYOj5eW4
Zd49s6BkGbPGYkes7LYfeKMTmQuSGOekatbaLfCfpl10qr3JppLZ7VpS+pTWsaNGFyk0oQTf/Tgp
O60hGMsywUcAs0M70F3kWvKNCGO0TBIRRnN8LEPxqFmznxXDUZUvdHrowlJTuhbC/SCW9+kY7roo
fuyM7raySvR7OILNZjPpxmr3ddj3HudafoorcspbgZkxD3fLbCy7pM+e+IC30dpzM9gLelFXQQnM
hScVR9Z9vgzgVerkACq3dNshKaHyLefjMBMho0sP1SAiKEwvqfU9p5VJLFILM2i2HjOtPIuV6D4f
ESf890D/54Ge8+1/rjRvsrfiN/U2kR/6WW+jnGxqNMUoDhPA8eNk/td5Xv4D063KPyjZZcRRf5/n
EUyJInz9n+Knv0X0ikWjTeZ38R+kf6gp/8l5nsrfx4IbxW5EVPxO0wTvwq/7pdFGUcig2mtaF3Le
wKXSpKWCILomLihCEcn4z/M2eEJM0FxCICWfIV+jGhYc93pinTWFlbJcpC8pCoCZzcIg42KfVZWW
b6Vk05pOseyKCZBTP1iXHFO/E34bOyQksBzKG4Fk2rCNOavUG5HEWpPk2qkStkKcvcC1U2AalGdh
Ml6ma9it3jUu572tIcpbkeMuQOTRITBZoFGNtVayjjI7oHiN0AWHlvm9OG9naWjsQpBekpyA8HrQ
do1pPFQk8S7N+Mp8eE5eRgZdhu/2aAG76NYAX9Q4b81suuka7ZsARmU2JO6XWrmPVrdw5EHa1iQC
D2s08NiJBB8oQkPAiFHsRMXk20J5ddtyuadicG6uUcNjgv+sWeOHZUoCkUq4twLavVkjiqUmNLyE
1GKT9GLEY4Nbq9C/JJKNcxKOAbay6y8vpjX6WMgDzc/XOGTi33fjGpBsxaTtSsieXXFUB+KLCVIG
fqa4nH1zh9x7dM3zWuPctcSL0X1Mvs35YNriGs3clAGqJ6TCSjg/k7hCeKQkfe9kYS+R6wwZ8YwS
P8HTa+Tz8CP8eezH/2XvPLYjN7Ku+yr/C0AL3kwzkZZMej/BIllkAAh4H3j6b4PqalVVS91L/1gT
TUr0mYEb556zz3m5FEKrpRp6oiMa3t1HrhXjE3/Ps855mXP3hPzKbjCjYzg9Ugl5Oy6l0w3FLS3A
jaCG1WEWPY8xYFFiVWUgzygz6mRASZKAY5O1vs2JP8S7xPfxilPmEpxMSiCOniyHHU2d5YHfS6Vv
bJ1izzjyg9uIumWWssqA9VeXyAGDo+wdvho7C7N+EjsD5DSGuqIxz70s6x/90vX3lKzqT/8ch1/H
ocnx8dfH4an8M3Vz+Zjvp6Hxe9kgMBzzezjo+2mISdR1DDyYjuF+tRf+cRrSQbx4FVA+/72z+K5u
YmPAT+4HLCy+Sg//lhOUQM+vpyH9RCSKDBObA6fIr6HkduZC0Ds9QD+rmEHqujpBypK6dZs+ATHM
oJkjgCsrDdk845YOBBjWb972G1wBrO47R89Ofp/o1OOZ7M3BZCIEaDbwqt5Ogw0hFO4W1kyf+7Qa
u7QXaJi5VoWzLuzFPoaLoKJIqMGvGQxkLK77FAeSF2t0mHtOgxQ1FY8ccNDruJN3BW3lbTsg4ywJ
kybBlNYLrd1GPaDQwjw1hZttyhwAgNJvCpUsd9OJfF1UnQFbOyvq6NwYpwcS8guqqoxWVcXMXh3o
ToqQfCosQG6aMCMi/2WTR8eOz1mA/gTwYOJw84IrLnR02wtaBPqWg3OiZAbHNhyl3D82hfpmTt0U
Jv3w1E2OhaMwO8sT3QnzUl21ZaG2ozvgFMMKwP277og3zZCTO7KBuirmjXIaQIe6udEheYZpb9Sw
cYZvmj2RwKBlqF8MtXlkfJumqlz3WAJSbG0Am4j4GBlwfs5JSsYfekexC6rHczhjPWa8wcTcYN1q
tr6tvZ4sqARRz2m5ipqoOtgxJJvJLi9Ss7yp6xGOfXUGP3IdT2kBMIosJR3DACHfbIV21QBM6hCO
hkyGREK09VCJI11tkEGxPnIt53LTTTgtslISXvIY7K3ulFMEssXcl57rakYBFI89RZBrcMzJDkti
EmquuGKZivobAD6qu+NA3dqq1ptHAcR1RVv2mVLGbUfbnztlyG+kf2SR3ohiOE8cbv5Q9LjVz8km
clS2qmwt2jcSxLU+BVc6PKKNX1sfZWa0e6MqW2Cn5YVjFN0utvJtYcl7bAwPSztmWdWXWkxMzQsk
ptqMzS4+2W2a5Q8IJ5AgES9061mvoIlx89sNY3Y7SedQiBqLSxTD2fZjZ63I4vNCN+OzqgJ6awV0
cMXj+Fiwjad+qKM+E6XBbu/sFiyXaFB5YvogW2etgRUl0vY2cTtFAR/HNapXxaUdMDTVlKHV9bdo
R5IKYANzmRIH0dqCJzTXUXd+lr54qR3Kl6aE+j9aIhasJAkpW+/vh4QLiCFtioTd+IiZ9qh7wWsx
+2BGBKWMZmnckmnZJo19x4V3p1nl1agnC1fXuqUdhjhErFOOOWloj/Yp8SptbUnAiEn2mNhesSsM
9ZqLedpLJbiUNATdYz9YF5osQiunUgIj8HOK3YXfD60a2US0L6BnEgqcvhP63Jwn1EDnIzfZyMzs
jc+6B9M3WkGrLg3D/mgycNplU19Unndf1lF8bHIr48I9feBGvUm5Ca5cooXoREif7aw+xwG1ipbW
IqThwUaa9/wlrWjsMg9QXpTRjhJJXjqYx1bSgKxeVgndiap01gx2eymmVzfuSOa6RbGZ3OC0yJqG
Zn/IbrLCcsqYKiRgAqeDXK7pn81on6Gn79VcPhcelV6Es7nXsxCgVfBMb+ph608a6cLevbFpODuI
DqfUnC59VWZ6MmR+VHO8o8LwjHDpdUqyMM/SQ9zVt1Fcf4IDpmJ0bM6hxV8uVM4K88TKUtxhdQDv
ZwHnImdjyTs3o8ir7MddKsvHoiTG5o3ICGhgK4cs5mYULJiSYXwIWjysU2qQVMJCinoqWVx11pU1
xux6CpD7PnU9wWTmW6nYxYwfY6NwUTtsXApk4Rh5eFp0YgPBOFuUY+7tD82iJVuIyuQzP+JFZVbS
Q7JHeNbb8h0n3MuMID0synSFRF0tWvXInih0Fv3aWJTsOveuBvQxYWHu1wRqd4bs7SB/86OGYx9f
kjy0t86ikItFK58z79zj4R7GmDL7RU/vgS8d7EViryJygMG8axDf85Fyr2jR46kWKvYMofcQ5ua1
u6j249QMwb8yTP94NAxcC389JVHz91Zm37o/8Wnwcd8nJcLXy57XImnq4k9aSqy+T0qmjXeTUYkN
qGUT0Ma7+a89MA4l22UTvBA7qL8wzB8sSjq57GWu+WN7/DcsSj+72BjS/IWV/mUJIQZOE8bPt8au
VyNRAGe8gsKLoy9VN2X7P4xyvye4f87s6RhA7MAFB8pMtpi0fvSAGtii01S2Fe86cs4tT4CWZGNs
mYV1FS+nxpLDneT1XCaufxHHsffEPcqU177uqDWn8mTShVCt26k81PF0nkScilYC7RfnZT9ba6Wy
q8jRwqzUDqoN9lpd3nY6IU8V432svZspafeRqnl+QeMrEmCOvK+OWjVear58y5R81aIo7KvqkGbp
E9EQRM8kvhRdu/HN7ODFmKKMqflEAd5V4HTDjHsdNhC7X2uMJ0DXxn09oMT1Xnrv4fSy2jU/3pNw
9YMe4EW0jOpYT8UHLqyYHIFNpiT/iACbEz2qulWp49as22ZLx+B51Hlj6BeLl3w0mcQ8/W3hXlvM
lawAi7vBEMfINO+biTuQmXSPMueMjtX43rr2UdlNsa3T6lTE0wjB2uPQSSJnHZXNbZMURCjsstsI
ZZ1yQcqpa63rbKRncR76Jy21aKjwpg0qR77yze4z9RjA/MQsMXSWV0Vpn3ljY2Ogh26eyTrduzrk
UjYsYj2lfbFJKpOzfvABelfzo5GX7JhZL5e9duOMGukMM7sb84Ch2JfPWs1D1ByrQ0CNykXWjcaa
BM2RjilGT6MGJu2Lc9G9Q37ZBj0Kej6aa3uq0bGz4jGaB5qNap+1nDCOjd83YTd4Ozjh7wD+YJGo
5qz37He/zePQT5NPP0dkFLY/g84M7ohHfdrJuAbN/pHUrFKNFpqj2cSo0P66FPnVYLZvRprq62bB
PxPJP4CQZW86dNvEX7JVFklbu+3Gja3p0KKL/opMwP0g+natZR3VhXGzbPhvxdTVYQlPal1EJD8w
L20GdIJ5ucMGfnprUqpImgLhOBgepY6umSj3M02DF8eQS5sw2WBrktQAA0Q9FTldSCJNqjXnyr1Q
9W1hO9UxlhQFZB49T2U88mKdXoY0W8ikNTXQI78Pz2OAciNy4qgcQ1p82MbobodGv5ciQ82loHjS
KOcYBCOtp312mv+s0Xa3cmW8BlSDd2OKyKlsPJpfcT9ZSh6qr4TxaDdAvit+GwGogvrOESPsVhe0
aRVk8l7qVnBw5im9cq3xrq5NburVB47CQ7JUPWVl9c3o6sUznAjSFewc5Uhva5Okj7bdhZkbZexV
HopgM+1UrNLzvETV17Sbpk+DRY8BtR9GOSWoA5RPzcPg3QRcItoM+j6Lr7WwKtLb1smmcxbFCliL
164r3ptLlfVFW3pPse98JPrEhJwxbNjM8zmU1CFWZ4h+ryBgzsYuoSe8fxZc/5Yz56YpjA3t2jel
YR1GQ7tRygtdTTyYEna/7+B/0c+CEUem51+pPD7NbbedsQFEgfqGpA1B3EtDSd/DJo+0taT12msb
mq7YhTbVcOFRotnUElovyTi8JCNeGpYZqa+x0dYuVdc85EkgN5HZfrRdvDXr6VFrP5yeV+LgelvL
Tr18HdHaSVQtGpH60l5p2kYflPfgiWHa1XVjrlNBybnjV111IS3rKS9tCrTneuMNhaARJ+XcWsnS
rtQqd2Zr1ykc536GeuVb+YOE6Nx049M4Zg9trT2TgbOu9d6Zr3jg1dsmq19rk56uxvo2Rf5lPYO9
ygIRFjm7PofNaJjUA8SeNEu2+ZwHd3buq5PI49tEiDc8Gdp6lMD6G+R0JLmOYHnBNt7u4ufC5K84
xndQ6dIwsLRjP7RPvVHOLGO59EQLLKDi+1sNCc+edSA5A3otc8MWn+2l1vnanZuy2FYqGDeiKVk2
NHb7GAVtH9qdl+95N/thnXWh7Q7DfjC6ccf+rqTmuFS7sdBjNDGKhUXHHMai0tmPlCktw9aVI7sb
3PuLhL/jdsJIr0XvSYnTZnaNOwTJp8aYboXTuAdAHk/lUrwB+za6+GEW+RN/OsPDDwbMJViuw0/w
lycuc7+zSNk/PnTdrK8wJNf9VenT9G1cpv6dy3ftoKnCJf3vX+vnKWL5WujhrmEZ5D88LGqLNv0D
x6pty6kzGTuvfEoh5UOtAHj/j4z4//oSy7//8CXGrM6ysc/Gq4o3piKyGw8vdnX7//FzBNzHPCY2
PNu/fJE2powq5VZ6ZTV3Newi7UIbDv/9S/znn4Vf1Q9fYuEO/PBzdOy5BfUn45Xt3+b1ds4pLxwv
C+81Vf/jK+E9/OUF8PNXWr6TH74Sl0kndzt+mBqNwSgw9JjHPme9tBny4wzG6r//YP8JTDC4sZqO
bem0veF7/PnL0ehHi0lnjOjET8bCKHbvRHym8n8U2d+BTQbhgb++axzy6qNJXrM/uWvwcd/vGgYX
ioXKQUTzaw/F+/D7XcNw6dQjmc9hQBkDubB/3zUsLij0L+kM/3wgnGROiu+qrInHHCWVrAS3BBwp
f8tziof1p5ckJHvLwZROFIJTabl2/HJOeHHdFJNWq9NkVZWxNaTue9ie0TQ+dcqBHEatTu94ult4
1uY9hTlyLBiXU04w15Y3kckm2ScBum+MwVMryzXfhc7auwyiV9hMtzKSOaWW8Hnq2TW3lmMI5l29
PZWu+xlXPk9cmj54N7QJ+a8eEaFNGuSP0VvhwXDOqfDMD1qRdYz7OKnUmvLYeJ2mormodANTHwYJ
3H3yjFRlEbbVqLbQoKgerRG6MrhHazBL+BXx1l7YgzpKhzLZskPmSDK5lVrA3pkVnM9s7VJyKUni
T4GH/6rjMVwz460NieRaTzwRKeMFw2Nrzxmnd+VOxdGL+zvDpYEkynER4FaoyIEp7aJJ3XfyIGTX
S8/Y0Zf3OafpC5YEEr32YORw6qlnr+xU3ePEibDOxXAGLfYucfrRidl8ZuzFpYhvlpRVVodemxFF
ZsdC33lQBGdEm42NO+ra0a4m/dyhuGiXgGBC2+vd88bzrn2Klm65CR3GWN1plVOsSrugftUvrz0X
kQpsFP3quk1tYsktbpa4Q2x9ZJOHn/7ciHs0F9XEDkB3gR1Ut+RZFymj24lcU4zJc9O4zWXM324w
cQifFHB/zKfCiLAzpnymYO0HGh3mflDjiWW/5ByqTpl3Gv0rycEc5HxshiK4TIhA16ty9rFtBPwS
ossABwcOChmg1wTy3MTMCo5+vqW60JjCrzftP0qJg6zx16fXXZ+9Nh//eXYtH/Xvs8v7DRmCZwdY
nyXIxQH177OLInAs9GCtAxY1HEV/nF3ub+RfPGQvhzX70gX+x9lF1IU8C0tx4COwtznx/oZOQiX5
L2cXX5hjE7jIcnjypPtlNhBRrddFXvYXc4ajeEr6l0bhnZKyoyF5yELVZI+kp5M14uUpafwxdIyx
pWZzuKK+7YAxD36mY/Kqo7uBK+5Z3KcnbCIM9nQg6rr8xuZHrrVyoLhBG5ndR/NUzmgWke6Kdd5W
l8WkP46z+2K29lNQkzD1QUhto68CUDBuGVvcTT3G8YrJeeUJjNPkKx8cv3ipVHk/xATBy66lZsV1
acvuWOcXj12gPUaFQuj04NAmp0HG512ZvLSlj0MTG2tjOe8M7f4m5wcDaZW4O9MsYY+Wz7Q4Uo+R
WjOfFuZVnY17PxjvlQmTXnTj1rbnLjRTes3tkSi71PxvNVNJCJL4vO0QAooZUKRwNo70b3B7fqvb
4Cpx0ErNGlCaLkDuReN44VfDE9b0d3AJz1FtXrJuerfJO6972XBjLEZv3+JyE1WAix95KRUvmUlp
V5X5rK9cLlFjVb6PRnCSmupCrIEjyVJK35SNsZQ7CO1rhnfetTTK2RENBFk4J3g8IWxt9WY8iiDY
C9O5UfPwmdjph5c3d1YidpE1P7ERoGvV45vkjxToLLnGEXHY1Fm3mFPtXrsUKeBa/8zSoATgpe9K
SqNZdwHuynXz0RbOjd2piOYTeWcL87OnQfWgiCavTPqntrbVP+Vav2/JHmB/dbd9RwUZVajpjuaW
59JO5das+gszdjA8Sy+jXgY9mufGyp3lVicxtIK8uKs72GJCVgNBQ/5qOfP6Gr5W+JVrWPgfbtK2
u6hlPRblNfOhFIBvSE0543zj0SEzFs62r+16jbPe5zMhxevdhMdvbqnY6HnFOd6orf2ZF7Fq+Rvm
ZiU2YzPfEpPiqxb+VkTDNtL729m3jjj6rZVnZqyB6kiEAD5w//fyvSunJx+FjvmxetMN/FZFSS3v
OLFm1ZO9W3MpLLV4r9MbH2oeODhdL3eu0neGnvQsabVg38Ujs8Hgf7DzOvenkrJwmk43FLkdXKEU
64mh2Ih8YsnioKSxmOPVSKjD6t7aPqgwk2OHtedqvson1zyzCVCE7Dzhf2VfcRGmkkdiEM2wab7i
JPwaiJaYnSeYU1jYbd2v8In3FUSh0YS1IdaUpeEGCeoKEYfYiqqT+MqqJ/FMQ9aGflh2snZsRxcV
N9e0c2mrRsHXHbFH2Be3ca1rPOyd6VrPtCMPvcTaTN4A2gWrP5WtvtvWh56cvQvAZuoSnrVWloet
AuMxZtcl+irGnNQyn+So68kpo1iRcyaLjRAj27su+p6NpasgU+AlXVSeSNpOvUkS0xN3+lc4zowG
AX/emjGM13ruRi+MN6zKdJNMzooO875a//O4/LJf2Nye/vpxeVtmr39mwFg+6vvjEjsarC3DcD2X
SxeeiT8elybF2rrrU6nqMtfzDPzjcQlvi/+V+zr8VmrAFlHg+6jv/0bamQcpV3jTw8P290b9r+ve
H5o/+U/PW/LxdMRyitDi/cs91/bztLF7k81mo/e0QrptGZaZbR7V0oDMZOdt/W7QT6NioTkQjAyN
pTPZC0aCEXqZ7UDCJeSHymjjaV2DvaiOWXPrF1kWB0ChjOiclnC8bGTYWIEyWsJJBamjl9W01/zg
OJkzINCO0jujsuQ7EJZix90+wo7AM7ep2uklj2NxLOuYMMvCYzIRl1YtyJ+1atRDYNbrOLNeVZR7
x55r0pYo0nhWsNbfkPKkGacLovWU6ZfS6mmFSKSEtVKz10AM4mKCqB9YHYdkOne0v6XpR0X4x77u
ijys51l8Ygl+jicRbfDPrlFCj2lJ/yX6gzyYpLigi3nmlTAEjz51THqr2dpVce2UdMYleqftOlfM
4Mp660hltbfJrOzMoFPrkHR2EOpxbO9kVtibwTQjqsdwiSWO4AGX43OIyuF6bnBAVFmbrah5nMHY
OptU+iVul+AitajkGhS/Ha3X4psEmkaYJ4Zx2bYmNgEPyb6O22Nvpi915eHpAh2B7dtNNxSoHWNR
z91iAqEgezQaoggSLnU97mE2IN00rAqcYZd3CNpq7qvXoRTpaersD02WOicLhvKczVjIlWYtU3HL
Zu069zCmyGnamUP2YKZjF5xjpoAAYWaXQ21clab/oIvWo9QtOVQ8ZSeTp6BX4wes+DquS2YuG2xx
alsH+0ORE0szPhyn7OlmG2+HWKarllvCWupY6fJcv/REACqu3HHGnqdTcKpGfRcbPXaTTBhrN+II
j9ItccfLfOZxhW94G9jLtttRJ0dVYSW1e8grjBKTfUYTK//SE5sxG5JERh0Gsf+OUYfbmrqvAy6s
U1Th51kgTFiLVH5RSwcrh2m5/Tsri4ZUAPbnbUQDePDVBQ6RV54bPA972sUoC6+W2nDPaKZzsVSJ
/3MQfx3EBhLEXx/EZ0kh2v+8tiwf9P0cxu3GKtYhbm+4JNkWSeP7tYUYPi08WHIX1A6yzB/HsPsb
d5XldPShkP2Opvh+DC+3Fm4snomE46HX/C1X8FfX4k+ncLA8AQBrc7N2qd7+dfMaWQzmledcxLNm
NfdML1mOrV7lRhjHGhOAj5k1ObW+tJ6q32cEpgVdsxhll/mh+Zoluq+5Qn3NGHnZMDf/Pnk4LcH5
FgLFCP4kZndSzvK6JM5bEesFQPYyjbQlQwi6UG5Rh/aSAZ69iTxmHb/RouausGCY5KnYiSrmm4kQ
MctSuc5NqcKRgHFsRE/VV+S45BxVmLKWKLLMeGfkSz55cBrSiWHMZ3XXZa+64mRryt0rMHcJnb7w
4bJxo3eAt6NiqN6ojnwRQ+quOzeP1kZVbNuJHSDGun2davskYQs1NcWbbsGLyQC6hWRf7hOhvZun
qlCn0gaSR9ybBSRXlyiL7ozav87p7wvUsEvna6Nz78ehfaQ9eGOTewt+r1P8R0BY6jj++o14/ir/
RD5YPub7+5Chx8J5wDXfxwjPKPPD+9D6jfclbyhsogtl9Id5CGEBcwWGVI9/1L/eo9/fiP5vLn4F
2BWewTtnCen/DfnA+qXqY5mHOAN4N1KBqev4Jn+RxxH9oC/UhXMph0ycaSKvo9tpkgVFSWYid6Nt
0wnqwSas2R0CfssOdsNSeulg3suIPXquTMT7UUdCTDNf3049Fjgbo9LKIj3mO5gMxpRLmaRPXAtS
5+TNsLCZT6i2hNbIomobzP6Hk1IBOSii+lFkz5jKY3FWTONZWmRbzR8oJTfT/qYbWjSzyX3JpoAb
WhrTWk5aK9PL/cwydTTFTW0Ufai7ag5bk81vkTf7bjYugjb4ILl/nVj+JbXMB3ZTt4S/d1rZPmnC
r86KqDyrY8D0sZ0caJ1/yjqx9rX4Njede5H40wrlmBpkaVW3RiueySceLL/apHr0TMj0lVZYg6BR
TT1XN4yw6IHa4M+jUo8tetMQ9PLK4Ky2WKfLxsSEn13UBKtIsolTnduvTdxddiAtO37RJEvL9VyO
I9VL1TH3pLfOy27vBP4yJRIqMvHkzwV8UpJZXmXhdfTUcY60J7+Jr9Vog/nv0kMvMLjVXjtzCnAM
+ksA2IggKYzl3hzrZwyDO1kStnSsZt4KlcGHr+L3Nkd4UJXhhFgLd+Bfj/ToWLvcNy+KyjbDscso
+8LzWkWxvbGaz55r7t6VbrDhAoiSzPWdlN2nNuGIpJb3sl7IPFRgg0j36ju/8aEPUEoKsvU6g+se
DNzDbRBoaVd5a0cUlMfqQr1gzz36wv7mOa2FnzIF0FbOz3ZTHSEgvEz6fF2zLkUNfR4rQrFNB/4r
twmgjxKUIgSs3FN72U4BEVKDFqN+/Jj8gECt4SCsVmKbmv27ihFdwD9vvUG+K8gxJcnJBeCZuO3b
wGLpfHIchN58sfd3mIiycFxM//z80ADUkgSInIRUwEC8hTY330PeyjkNQtzfWAOwS6IwLb/xGZPf
KongVRddsg00nOCrSFKDDrki3qtBv5x5M1wrP/V2SFLQF/EFrHhUHS0rtdaEJ1dWzccgAWmXqWDu
9Ca93Fi82laNU1O5Kw1FWsFKpgM+CWdFb3dy9P1p3nmDM24IsXYYj8j568OwHUm6+rq4JJzMmtc0
TlZfF9SQBtcEdkTYZulF7WLaNo3H0XfUbWNo8rkwUpzGNWRGCwnaiJpq43e8IBvXkuQF8WzbAGNx
aFsYi3jP+vjIdrkZaKFXQN83RtqXMQ+CxqfJztPUSZokugMcHj3aPy3nWB/MpH1rem1nwHlYDVZz
KNzewprlHzXG1iP+bp9m99RY4pzNiwm2Z+XA4Nj0YkAcWR6UReyR9c2bakubM5iIbqZE1jCf0jyP
tkHL/zs2o78rZth5UiIhlTkAzFZLdbg4dYkldPn7Ri4lynZ0VgfxLkPsS3hHrUdqOVJudwg5M0lK
6nZEeWYo6mJzShrLgAxgOjcnFpG0YMbkti2/5y9ELxj53C14ErXNCyoHnYSS9sWsCSzhzBcM4WOl
7xJHPhMR3fVaezvLYcB5id8+xjdaGPLU9g3Jpz6P18Srd1FV7d2+/cSmuQAEyz4E6sobFlHRPPlT
fpe3aXYexMNVwW+UrQd40bwEkixgBjtp98josx3t6gyz5sdUmgZ+l/zYyXHaCGPaeWT9/xnVv0Z1
iwX2X08It6/F/zuWr3Wf/EmOb/nQfw8K+m+IuexCXZO83pfp8t8DO5oK87jHnjJAPFnUke9cHmA+
fBPkSHh8/0tu+T4okFzxmf2/PtnSef635oQvq8RPE/vSkc2wjjWTYYXd5M9rdCJ++TTZqrlUGsDD
amWSlIC6Ckf64PZxcZnY7imJvfjCdXhxzq5zXSsZQKbWb6zIvpFN/1HCyFxNU3ygbf0MggYQ9P5c
muZaG+ZjVjAsFEY4m163HuzpTVXWOb0kGI36/MK0/W0kvPM21ral0q7dNL73VPHoTCAKovrDt31S
Zf4qU8VBEhKIYc4BwyFo68cP7EPW5DCulcwuehLDnOoXaJQUNLjTuevPO6ehMzkR9w7mQY2faJM1
41uQdKco4E3bWC8Es3dD1x2LyN3Cpjsb7PoiiuOLoJwYXuy1wK6F6LCyyvrUTOYjF7N9bDB0KLVC
PLhMjfSi1IzN0AMCoEsn1odnMnVXcdyfqF1ZD6W/s0dOisy9aEy6KoLPtgnMTZ7S/8I++DgH/mvE
Mjhx7Udy5wetDcLBabFkzzstTWm5hghTNbeqBVgdTcklCbe9xK5ppO690+b7WbU3ud+9FSZlPH5x
EUf1+eBiJ1p6hhq177EkeaJaxB8iGogJUXCwhH3jLYeYr1X7zqMHzs5GKrg9bWWo+qyO5KtV2jdB
hYUDQuoq673LXuvOYVWEsxgODW0wrafdpMF0MPTowc7VPYPExi0SYwXIBikXw2kc6fXay+tT4mdL
hr6erjPVRyGe21dvCChPq6edXzn9WkzVo2lW8Qri0JsfpdZzGfHMWdhUctNimEIcbv0m3adBER+6
smlo85ln7nWp7RbWbmgKnrsGifhhag+AVdh51H220vzqRpZddSRuP6zbGoCnAZPsNDkz8BJoAGQm
CE7AKDBDVivpjWmYO2liGHY6sU9pR1quij5SIIRY4BrzmhEUEbsiwtP5eor5luZowuhO2LrqNrFV
HXYB/PzIIngx9121JgADG1a09z5Gg410e5KymXmd+Ag2c/o5OoAWAm3ZGkfvpW9BarIvZ/jmdiMv
6laOoRyxfGbRRzLbJ5/TXRv5uFPTs23i/+3XddVLbAkCYk15bZbkavqO7PxAcjtyXFzFMTfItLLf
BAkymP6FYjdRQ9+3g4ukIQ/uTem3QIPaONgAW4YhrkNp+h/stl4KZd5TXfXB9x+vulJv8T1bWWhV
7Mri3KpC7gCkdWUE2YUwepU1ISSJyyHOj34+PtiT+mRDwHPVP5L+INmi9ZtExA8JZGsQHPWFisZ6
C0yIBWKvuacyi26ZmcAbBHLBlC85VBsb22gUT2M681uuIWmUaIb6NDYQWUWxTeV0iLRsl8L2xw06
PGNyhSfZTZc4Ot7iYXqb2KvTQQDXCBQsQin7QC/O9sJng2TW5tavGI9ry9xFpfnU1WReOKooWHAO
CcbaVe8mT0pYfHLNRtSt89CFcxf03ZuGAbg1gQFPESpiET3CxCKLQ9phNnsa6KkgsHoNA3GHZDY3
1R0tA6zuUqWIvvB3n6LoyVp2qVEVeby+rC0sEcgCwcjbNJGKmlvemkw0Ld8eaCTdnHZDxLTY87QH
iI3jOK8PSTK7fG/DsaKNYMq5kKFxYvLGJBrrF3E3PBS6fuxGH6q9Bl840bjG9fp0LmP9dhTdmVPE
d4YiTYJMERZNCpPIBnfkTto5WCdjVSh5z93JgS4CnijzcIzfxjF9Yc3Yipj9MQBv8nfUNaZDfLAZ
gcFp2KtC5xKmz4qSp4Jxk6LTkiukeWyluq4WuqdnTNk1Hb/JPzucfxm2/usO5/y1bT/+ZBQxftjh
oB0uhgbXosqI0X/ZofwwimCEwAmEHwsWNzLg91GEaAgSx4IW1AmPYJ1Gzvg+igS/Mbu4fEaEi9/d
EH9DswBB8IvlgYojvjH+a+q2bkMq+HkW4Sk6aaiC46VCi/M28RBBmQYxpEKhkhhcSXTWzVJYG8Wk
IR+M3iArD3k06Q7VDHp5GlhBn//+xEgR5GHdjlVR0lRRQOx9n7Bd4ZqqmmjedKLhyiWmZj998W4D
fWHfqrYlE9ElCxM3UvMchNnvsNz4i5xbu8KcKTT5wurOJbbKldeLydjkJqHDje0ZoAIWwEvY9dLY
9bqk3YFD1nbuM4P+ki2dBQdIo1yACtfu9pU2qP1kqZ4ngeVPW5H6sD6ESDFp0iFDyBF41FGL/Owt
gTIQBpSdaStVqWGjZY2LhYzTKogR8/Vcw2NP5PWN6YHekDnHO01+OOayKOydo+JPd9RYNBT+J8qL
vSInl2+8in8D4s10NPQQRrxyPIsF/CB/ueSJJDc5Scn9Z5CA3+hnlNwaOwnKj8XFqtGBEfWL4Q3i
ur73GxtdJAIdYrAgxgtQimPVaNmVvaQ8s8kIeNgXH9KbnZ2VWWIDZ8DetWWXbPSWDhspPMiGTp9d
SZ08Qx1AwKsGc5XX9bjxNbpNhG99xK1W7tFgeVkQySPbbwNoLAWOGFd740kk9u7/sXcmy5Eb2bb9
lWt3jmeAA3AA1+wNXgDRRzAY7MkJjGQy0fc9vv4tpExSSqrSNc1rUo1SbJKMgPvZZ++157QDz87F
KwSfbg2+vy2hH1M7gBDlDTUulrQV1rYosubgmCprOCWMz3zPJEcLWRyWEzfqYohXlOEtHoPp6jg+
fgSnyNbNUuVSDBlQrJqr6dD5sGTmmm/T1l/SPBGMYXGwqms46NzrwK1QzLZqS4g7HY7sLYzK6kqE
Ah9aMIBW5AhezZNWcVBPxBuaQqQbsMzjGnI8aDtjhD2vWR3oIyof/DFPdloKlAYcbLb7zxj3Y4wz
eV79+zHugQhS1E5/3bksH/bbCMeCm/FMoyzUEHCGf35u6v9HCmQkUnU/b1x4aOqSWc+iowoh0MHI
+tNDk3+uwkPGdWarpO3+yQBnqXxfP9muEXrhHsB7UaG6gHbB8PrHh6aS4xmpqia7zbXSMM6N6LiP
TQtJgDqgaaCxYxzZV684uT+rPnubCxKxwO3uSXVD+bI+pp6axrKjJopemKqkOLS1UcM6w7pRW2Lz
ClwhFoVc6fFp9J4ZTKQ/StnRihJQAOony62xdWO/uDRT+01ZVp+mM3yDK1ysQzYnncOKE9zacaT1
aKU78Xlhf9VqQWgFdweXFEkM3ufPsGRywUO0qbv6owc/hS1o2qrC/lBGbRMOrcZ9NdhZVnuDlQvS
VBISwK2G18FWHtN2St040e51s30JCCpsHVux0Zt0eQmiaSlocVqeWAkhqSl4J55UbBsTNQaOyxXf
yaWADkU/orhXCemvqGu4jkI9ZKr5ZbTZFmTMe2NER0NgPathe462OGLx4d92dplav3Rsgoux4xKV
BC9FI18cWLRDgaVW/2wc57MWzaWeo2ezGD8T/Aqe0NXZgwF0q/DNIvUNuwx0E2YccmszLaabKYnu
qfO56UrlZtYr341VLHWT4MlnVna2j8lIrUwNcumgGreKOaTHCsr1ikYki6lKO8ahDLax0slNFaTn
sOrUtd2Mj7JRDujE9cqx2oNdwAZQnexSTobjTgkael3mgtD0sLVhRLGT60K3nFKbUtOw9mKVagzZ
+4T2OqEyUfGn1iR2dTA8+ba1SaPuVqrdRS1yxnPFqba1kUM2w4QcJFgNMAWsxha10hhmQv5qvc8U
s3Zrofhb3mi+OxT9UbW4u/Kr4N+sP2KlvuPafjsE6j6IrdGVIt4acfGYtcbOWZTaZJaPLQ42NQue
OFK+sLAQcZpJEZqdXK6nTrixu/kF+GNJl1B5AMvwrHRdQ4J7eFQcJjU+NGXVrlRrvU/uJ0VMa3qQ
yBZqxfesUTI3KsqzMTmXxGD8aeHRruxiOHVjP6xHPF8Xa8gC3iu17cVFJFw/cXZAiul20+vxvfXL
2FOb0oda1yzZvvi5SyjNiR71ljin7UTWmveaZ0Azc23QX9u8YV4zh7rcjZrwXb1QjxAjzkauzF4W
RywKwRYSHA3XU17NniWyGxJ1+WpS2ExGul67YzDv/bF4T8YF36ir94Z+UKbviYrFUwnqu4IuU30a
YzazAB0osOOa9x05Coq3ZXyvZ/WV3cpJHdKbklaupYVvZTZKuJaUb62mrLoLu+Y9ZadDenBvF/OB
luDUrbVR5V7FcG03hlvb03fR1G+BQqKtaK9pqZxbUugbHN3eTCMRrVajCwkkQewdxCruEi4VqJsY
89vv5cLVSFHKPRAi71FVv2HOVVdNoXATKUjPjYMtQcIx0TSmYhMfM1546lYrfGUsnVL52XK1XSGm
RR4P5GOj1OM2aHA5hnN/aH0WOBTQ3slwfI8xqwC6SCBRVk26LoNWcxuDZVkmPSQNyLPheN+aFbW9
cb5OR3IB6AlinedmzZuu4C1hyzOUy3hdjP5NkdI2ZnQ+beRKcM/m61KUzr3jGzt9nGxX5tRA4aIA
EgyIONCqTdDa6QsTVYQNtz8pbBBhBy9vbDN+ppwUv0c/JBseq4hSIvwYc3oQsFJu+iE/8EC/m4yi
32GSGxlJOzYM3JwiKnF7cjPbUIV30jc6txlqe307P4S+NIgApuhu/TUygUWLGN9vpCMWAWha40jl
Y/v+3pSxzYKj+2gKilMcrs4rkYuQgq4Ke+CsfMenwHkR1tEWO/w1n4oPMpfBqkohQ5CuU9x0DABA
+3N+o3KnAxpFWsdmF97SxQxcbqS9UBBIgzEAkoNntlnm6ibGcLQhHfDROdEzHhXDHfx8M3FpZ9cA
GYXjrnYHWqtXLRuljeMIfqZ9xOJOH3ZOYGTsQwwqowsTt5HRP4ZTch04E902Rj2I8BFwsWNZlCoT
LzfbSjw6wXnFpn10KpUZ2cXAKw2xY7nEDW6gsrFTEhS3dtoioXwzC/M2DsqvUePTNUb8QrsFjVQ1
47vs8pMGzvLGMucz5z8jgpXvVE3bt0werjEJkLDUWLxUaZzum7l6ZFNbeWmuPyuIP23UfhuqdOP4
8SOHvQo8hlmZ83/fRMHFiqoHZ052ugJywULdQJsrutVkDDsfRo4FlG1V9AbKQE1btLCsT3CeikdU
lT1vUc44jO07Db/tmt0XM/o85uuypI28Tzt/r9bTu1R4MbRhLzZJYj+MOXd+21cO5CPf2Wt4QcJI
McYlAlvBx1vlbZHAfqScPFizfvss49HAMRy9wtZCKavkrdrJp4JeIb9Mx90c6N9jlSIPvdc6UhM1
FrsxDzfSSrtVK8EAASbm5Rdr7UqLJur8Zu1VNv0Nxc1YOUp+sTW0IC+EP+7FFvqvVOJ3PB1n5JDQ
bcGiusTij1FPZBndZTvNaGSdbqLVqckuDsDfRjaSktoSdK8EyNIirgn3O/a3MFDGVWXTU92zOcei
QWt5QfqzoJyTp6p8zgjSrWjmphC2Uh5YLz7WDlvFPGLbM6SnroFOHnR2C5euqOh9CO9biVLok8zu
UJLcTHUeDTLbAfF3YB7EuDOYr8Q2eT/pZLzHgEWPIPWtcHPiDUkQfCARXpIMH1GkgiUqrpIZr6Q6
uDMp8oHKFaWU36WqPCg6MXNrCZwnTkJbEvFTkYrPnky6w0nOqt/8bEirE/KpvZz8up/ruYdgZhA5
Sp6DLGPmGgno2h17ZCXDO/2hkobnYmAgCIFy0br4UC6Kegk97UZExd5f4vQ2ufqATnrE2/hBq208
fmTvrczBbIOLwAAaO3LnQrRncm7LIl9XS3h/MtmNZUugH4s36d4l5F+Q9rdJ/dv2RG/dAgLgffcd
s2dGvTyQAMowNyrUgJIGT6ocNZbMAAV4LZx1GbXr3KR5okvKe7ngB0wL+kmxIAnIgJ3HBVJQQyvQ
7PYzXvAFGhyDagEaZJ36SF/NYZzSB7EgDwbYB4WlfvQ9XCAb6YCtPYp7ASmhRB3IF3SCOiGwOgtO
oZXxl7PI3T3dqkCsvuYMIu+CYEAS2AuRv0To+C2YhnLhNTTc8qyERx9kMFYAzsAkuvAdKkAPcOK/
y4X8YBXjq55x51u4EBGAiA46oA8wAtnt3QcgEbfdxQAokS1kCYzlG0RoTkq92k0LfAIIxWhiDfTB
UozgKUrD2TvgKqBT37YLvmLhWEx6uA4BWzCCnmoiUh0B/9RUeyS6GFRpFVgAMdJ8li/TD0xGpZg9
/8BkmIXmK93OLJXDf2bQHzOo+Fvp7ua9fP/rALp8zE8DKFlKwyR5tBA8Bercb8IdkUkymPSBkSJG
1PvDDtGWhtBp63FwWf/Q9H4V7mjqM9HXsMLR2YPp6B/NoARu/zyDYr5GudMgQgLUI275xxm05jw2
zF7Ml3Lxk2qi5aBfPKYlZlMtrrY+5lNjcaH6ZfehYkuNJBQPFaNqY/opNynlcUkpQV85mzMYFRNz
K066lkhOdJFRupl8+1ZdfLDR4oitsMYmWGQHrLIFllkb6yyVChcAmzyQ0ADdOuAN2MrhXi6O2xbr
rSJzZC3CFsniyrWWIVVZnLo2lt1p8e5WmHgzRjiVAkCXKPsT/pvbBruvufh+O3JVzknHDExoYeuP
Ce4p07mm2IWDIQEcjH94MmMiLyme4glz8bC4jOfFb5z/cB5jQZ4XL3JuAj7FnJwtLmUuyrWHZTBc
tw53HpdyjUOnBslalARRO2E5XhJWPAPMjVOlHwFRnMVguWLBs8VaESUugZztiB1xY6nh4pDZ1Qta
K2gdVhihVxupthdTcdRVHnEajHayV0QXa5KjfmKdhqSARjXI+0qL5GZiS+Uqec/fwqmNC7GpfT50
KulFnuZmY6Z75OMbmeiunuet27T+WxPYDzHz6z5S9J0x+V8ou1BXjJF4pCQPYsYDV3UMSuC1d0Xo
NyuSq+rDZLMmsUZzn+Vg/42gvNO0dDdCcXRDSiW4WjaVW0SNv5dDz5CpoviVlB1GOcTEOYwm/Deo
mMySn7WW4z+qtN5tlVncORXr4tlM1qEJ1VyhE8pTWk3lorw42SiKyM5ASXKW2xjdApujdADJsy9x
wY2LHa43MMZx5sTblttjtauboPDvbQSGA1HYbyDs8cYw3B3mMoyorK33dRU8NKpc4kliZyj0fFNh
u27Czlz3wGLsPi/g1dc4wbPvxQgQx5iHozr2L2WDsQjK3lMnqngV4SZ0e7986RtbJSc8n7p8POEM
X6ao+ErWoGcjhFdpMM9Q5nhLKE8QbFg0DfMuFlhzZGBcLLqcO1vbmBFu+8aA5sIubRtb4kQPI4sz
p32bS//Sq8mjM7Ipy0x/H4gK9N4E0jvWqmhdx0WzicL83VGTM7ciMgdBuJ6V6rbJBZbV0VhXUWms
s9HcinFs1n1ie0qAzlnT0PXe1yZXQeUVyxDjS2ufdeC5rjbJ5Aqh5Y3j49ho1jdrbo6TWd7MGog3
tptMdeZlBKp+zilxTFVKYUpLHvURaaCGpUtrxB39wczT0YQ76CFR1sZkH8uI1W9Pto2QU43jSnmI
ekujaze92pGlQOGrX0ulvYtl54POm29D0y9cBipPJ5qRMa4pitzNDSNI68cVUazGcWHQrZbUB66p
PfaxS4Q3p4MoX8OcOPYoUNskm98cyaWtZRABBVuZtGWlCiWhbV+dumHeO2X0IcwSGVijgCcbnFUZ
xfdtan44NTvWbkSmzyvrKVDa3NUynzcutxUAMe06q3j+4QOkIZyfONb8/5yyP05Z7W8NO6ei+a//
R71t+tX89bBdPvTXwxbULOWOKAnsw/DfGPzRr4ctDbcOKFnOYfBq0Mt+35LRZof4CvsEJRbP7WLf
/U3wFT868FigmRQo2SYbuX+wJVuO0p/9OhaNeZh7SVNBLKSF509HbWxbGN1yJ77psvVsWrzut0b1
/JMEfvvLZ/uvvMtuC2SW5v/+N3+Tf/FVuBqQijYNAA4mP4OfWR6VjyHYnM34pi3iKIWVqdIx6gC2
dn1dJOtYb0BCib471ZH5Ss+j5vVWfDs0lnVLUHgZ543+6JiW4qkcOuQQkZBTLVJdlf7ZQWT7rg/P
0VLU2mkndR6uzSTOFb21Y61fqO47qDHvwWyptgXL6mysZYnkw2LFLux805BfoERxw43bhBk47b6T
4q0BfJK7WdU/enR9Pn5cqnUnwpLyMChztvWH0fJapcGE4Qjm2G5mN5i0ORgIYTz5mLS2JE/1N5FR
A6ZwDdpGahLKddhVJTTcqUqei0ID4mPTV7ULHGpn9ppOlwB+RvtGYtLBYEdzDmhrm1R0q5e6/TSL
SoJvE+m2VrBPbTWyXHPllmTjrIpbdEYYl6uQqVzsSihnPn9JKycD0EKBKpR8a+Px83h8IdcufYa1
ZUc7PTWSQ0fc177l6zX6mzkFVnPkpO8LlqU64l5tjrehRsrVwYl81BqrOkIKC16Xi+Zzj3kCuWOC
OtDmnbEfJgNxIirbhk0ee1fJ6NU4jwWelJWkIXCtdATeRDmGbtqB36yCYNr3wmQy7zqkS37mJ0Se
5r3B3j1O+Eom5PGVU0V7BWTXGn8cKYy0H+7Avh1idUrXTqE5d8Fk8rCOKbOyJzTaoswowUgMry9o
3K2iZzszUcPmrPdkFc3rmqgSAhdu0hHrzkHOXbi2MKpu2zbV3Bx97QZFS+A5qJqt1PtdWpM9VsdR
uQRYS9kjZucoT8/U2uSbrI6uRmHubYLxni/THe+WxAt09bZxhvtWs/pHsFX2d1h5ONITTw6j/F5E
nWdmjZf4lfagKt0mkO1GEUWydhiaExuf6Ih3qZHlt6Zpv/Ko/pri6Ymwh1fr/cEZsw0PDxgh89YY
1fNk9+BsiQya4jQz35Nc/gBYjHFc2aSDxpaR/qdu+gR4znbykzCzRsA81dnV0ryemP2rKaOPdJbG
GvWkOeAZDlbKMJ9EJvB5ibMsO9ieyWvJr69pce/ktgVSVG4CYe86dX4d/YZosi9WlVqtdBq1KLfP
1X1sgmnXJiyovKX5O96RDSeUHM0BDnGfZpyeUG9oSLpAfHFt07w5D1V7DMTIi3kBwlbIwIlv8SrL
pqPDm0gtLArUaqLD9snGA2iMxbNCbi8xrftOBNe8Kk8W/78Xzinr+mvo4E/HMyd80KhBMK7Yu2ir
OBxKt6u5tQa1epMoyVuRaG901B6iJjkWqX0A9XydB81LqREq0vRsGmhCaTUdZ8ti484q2KYUq0qs
XeeYnlNjTglHBO15YBUyT/tqzvMDtW7fssm3QO7moBYCiLfmqCfbyinJrGvK3Twp1ebvn7oE6P76
1KVq8QeGk4GN//7jUzectKyZZEpHSJWIdZ86E1y0KfEyPFKnNtMHz+rpuCrCjN34/KWVVXOtqkR9
sGebFd043hHzP6mj7yWO9ayO7bYK5fecTKNXlkAAg5ieNzz9m2LmNU1ZOV1KZuMO2A5WRtULz7Lb
HUU0H5TzdW4UN08ChM4aGBmpbpW7ZJq7Q+U22P7KBE+8n2+1uN4Ko79NBcu0zPo2pdk9TMpDR0nT
3KSHqoOYXxYnm9Zzrq4TvSNTtBMjVOcG64/0KTAJGWEChlSvUZs7Y+qQmEJ5UEP4skhFKnxK5MC4
Hh/jCGORIztQBZO4GBE+xEouBqwoOfcli8Qm3ieDuTWB53lRWu39HKtqZxO4R7zbkLldm0F5SgP6
sKxcXKJ0OKZdRjm6AFNZwqwtpmaDInhJ4vQO8hjG9xzUhswVsOnLXa6ubxHJey9D4WHLHz8akwGz
Zoy4LFvIjryYRl6gNrGLJKmWPrCtVrKINbRXVCcv0yGWO8Zu4DmkN7RRO9ZJrdSeeUv55mtyBhOx
SMi0MiRppu2VcnmWtafIki9CTTeqip+KxqLXKROaGzdTsjbC4KLPNNfTubHUPaLXUynWPRVI4Ufy
ZfU5xa+w//uX6rJT/tMlRMIRpFKUhjmqyf90PcAKP8D1zajmYiDV40MtutXffwWuSz99hR9t55iB
SN5QgUJycSki/vkCokvoTLYTBDepjFeKvERdRHn7XT3EvBJSN5LVxonXf/81sRn9L1/1T7v0rkza
0tAV5QxC/h6wFEM+/0OYwwseHij9yHosLsxn6ev7vqOGtB8pt0hz4Ncqiqib1/NLoVgnItGqiwa7
SZ1B+7BDw/IyNX6UzAFI6NPRSo1XSNnjQUvJ2/Jqyot1N1v52i6VytNKIIVo+dO+Gy39o8jjdsOa
TQeOEH2mvFbXlSpDjyfw5LUIQy7GqfvOSGfiJckjeQmxzwJItyzjiSLsOJQemrreyGZoYHzEO10N
FeJN3FDSIc/RyHErVvTDefVgYpSJxjsR5uCeoh7jYcDk74ClbPrvVcOGrimjfW0oO8JID+MMMVNN
DiaeXFxRXNYiX2cH3+IhkJ25T+b4yJ7ZyydfeFgd4V/6CU9Z9blXWaJGcXa2w3Gb18O692dewVhk
2yBzQxxURZzZq3KOba9O/XO5QKmxPmsFLH07GO9DnOKrkXGva5FDdB3/4czWVCkj9KeueJcBjm01
u1YlTTK0m68a7dCbvYJJSt9ZRFq8UtMe8yncjT7Fgn3d3ZSSM5Iq1D3unS+S//QKREByTWMblMbJ
GtJfjIqf4/8EX8W/uGX/YB3//i7662ucaeLn1zh8bgvNjFdbfMpvsVJs8F4/Ddt5b+7kyebocT/F
sCIac87fhuPfv9YXUNG/eIMhALL9FJbmLG/An2h99DnbeYKwf8bGu8pPwi03mIC1o/JsbdS1+nhR
3NNzv2ay7t/5j/RmOqmrQ7Txb3S0/v/lu/njwffLT0JXBUefLhmhzD+FECZ1IFmlxeFNqN7S/kOD
6HPd/2Jw+rc/7j8+s/76NZaR56e/8FxnoAXCNORw/QrqnTNd//4n+i//DhZJS2txS2Jk/OPnx4UD
sT6qOLyV28rh/WBeg/KXJ9R/0rgGL79/b9K679r2q/7r1L581K9TO3wSQzM0dqK/ebF+ndr5I8Ck
dDzzGuL3sgy7v8Zs6MTS0MzthQ6oIaGjuf8ukQMlkWRnJZuiH47YfzC1Qzr9w/vtB5/EEGSCMd4i
BPxlbu9Zm7eV4kwXUzrNRlVSXAQUMnUnu4XCWznNNR4DCwJ5PKJF9yYGI9PPSxK43T1Wrq1pJ5Tq
1XO3ikLVPI059oc+xvDRNcYBjBjw3EmnO15rUWgLYokUNpdXQaqSJthWOWZTYG6buHhxZi12FVP9
zCu8FFo4X7OooKZpKFJPKXsMWoF14T5JxLZAeg1Ki9rhAsAycGwd7EhAnj8TV2qrKDTMBk4v31yr
dWjuFIt7NA6eZq8l4Je4qeUmM2VyR2rya0iqe8zepzLDul9j19zHozKCuqLdb26d8sKi+E2IRcDl
s/jk4gzEWc8QZBVG7uD+4JxVXOg49VPMk/1VTeanrCsfnbg6QuF6AyKwjWkUc6MZajdpnxNHNi4L
5NK5tL/NkKHJLySVa4v+OFlMEOjuuNs6tLaQ/kOHCEYS4oAw7QLsRQMGpjrT/PoSRxkrOZiRbhRm
VD2Y08cciRuNpOh6IGIShQGbyliv7NtGt5Vpq3RLyiLk6/kqZtIKULSt1eu6LLYCoV51hq1QAU5r
zkar56/ZtqO1afXEovFBWcz3q6Yh15t3oNOMLOYAs4cSWwPL5kEYz2WXnjuFBXjFXN6PglzE9OVb
ck2Ghg2CH7xzaSF5EdCpkpi51xpzsdHUln6hVNz69SRhXREWLOPyGtbzu41njAItAqthWki3Nkin
5rJgvG+f4ri4dmrG1CDBuCzdLXO1odCUtauebztNXscheG5zyMRt1hyDuk29XsEgZkterjbbHZIK
QetZE5UtVppHdAo1mAEDUpVR5ZA0jm/RcSqWFfLoD3btMbmPXmtG7wSiFzW1eLdGzEzNqERQ7Oiv
BspmEFVOEkw6Bhd7shYrVZtLbzQCg9h5QOU3VDJKegQ34ezcgjBxuas55KdmCt8qGrmhEdECNFxh
RtArovurfMzstUlBZCbFjhOKMTRwLmPe4BBThOlaobZXIX+uZMksYg44J+N0vBSjsq8LoDtAhj67
uHuOM/2jnIbb2OjI0QbZFw8rkl8BvoXBvukHU13Htl2v/IaqHWdqbpGIvlG0UnKvClF1po8hdm6o
Ab1HpqCd2ZxfU7IVhFjNYGObcbwpA9IkVM29YjK4ioAFNlUHX/FMPTtNqtu5Y3slUkUi/oPacYLo
vggDktBE/NcsvJ65qz5rdYjzriebrsZvxHC5MrVFuyppd1oBjj7DDH6Ka+WoBf3BdjKuA6NJ9Qq2
OVifLo4Ttzc1ZnFHeW2rabtU7RV1BvXOwpYSBtZLO4Mjwqjv7PqSFVaTOdluYAWAcccxLiIpbJbR
5hx9+3Eq/Od4XAaVf388nt/riJql978ekMvH/XpAEv7QVcATnGUAZH6ETX87IAHHQMC0Eb1JhZAo
/e18hJFJ6kOzKDfDoLlI17+djxaxEEqXEaF5t1hC/iNVW/8x0P1+GeZ85IYG9Rf/so7EDtnmj9cn
Xm6JsCC9XTKVdPY5ZCX7NmpqaNOpmufBLSws8zB3lXyToTFwf1NykATDqAyv9Ww1T05oFPeOE5kz
ndfdQC1qbrXPjd5pPg6g1OL1y3bWiJSnUWAAwhxpuKkQiStGieOEh1mgXboeiHQ6vQ/B/C5Cgk3M
QrKxM0qt1a1Is+giJnKTWiLXY09/h1IfGETg7zY8PdHuGqxi03tSETesyKKzwA2W8li20hMnKrgu
e6l9ZRm61K+ZnbM3grpe9QNlBpm8M3rzLouk5iU6Qoo/3tAlFXhOr71XeXVf6uIttMnpF349bCj8
6igPn+etHTmZi+yLmGKY7LmsU283LyID/yvz9IT369iFlDJVPigto2E5ZtT46LKhpLtpTu64JjxW
wAfPes3id84NjT0eC9salwwdQguEIMWW2OpovyPGwFNODmK2yhdMbqQqNbX0OrX+mpt6It86pjiM
u13axFusQzstab3SsuLNpDiuYYDptoXY0HnNYRPzM6h8DXtdb5u7KOd/Gf3YrXKneMrD5BudYVfb
oEqjTD+1JHyQBQvFto2Nk8/SEljCNSqX4lDTCl2AJT7mK3kKFlgO3Le7UMoHo4YEzNj4TRb5cUYV
LycbVVK1kUFzy2KLXsScReORhKfbclavjCLfphFGMGF0eD41OJJV/hTLBhFIDtFGG6O1LNv73JSY
mweel6Fqb4zK6m+6pdPdmhq7XdXGvk1k9oR6PXp10l3nHoaBqYe41olr4jSgtmzqHusp/vA5FHYy
5KFuUilHvekzZo8Xyw9cUWvv1OmhKC3fhtrfKZNNNfd8SfHCNZHAI4iXbCpu8AyfUie5nSeJscKh
go2qg009RjRLOEm7V8vpiMWe6c6MT4XgNgJDYRUq9rNCP+CqNQcW2fHou0q9VGEkN2aZXXSnPtKw
c8s2ulq1C8kjsAzq56o3qK9eaArc1ykh3cI6lL28TNGgc2vojoqDQtlXBdfC5sGOrQ+pjOdadl/C
zx6a1tprdNfHfcJ5GlpwkVKHuq+C3wORlm8pId6LmMnz2GMK+SCXF/7yctUO4UtVg57R1OwifO2W
qXwDxeyD+IFr4z7EDAkgIdOz2wV4f8r18Ghlbf4cSiYxwuZipah5elQoKXDNpaMaxq0knZy9ExBK
1iQHrlrjv6RKMbnk5GqkHqzl9nxK8/bcaQlbD+N1kNk7VhJa0fmiA3ViZeSl5KlDap6bVN0aOvbe
Eu42fUE0m2E8zw0b2yo0T0MkiwgISMYMD4RH9WOk1fm1oWSlOYy9tujPec9lBkis41QsBGL7ucvy
FNU/06CLI8ZuzG5Mto7BFZUYslwFcbcllSFux8k4MHpqNyFvLpffuwnfH66m2df8glprfJ6rPLir
sVgcY4OavZYfw3pIlXSnAeugulGz9FVAcoAQqGzDXavoxMkQgVLCZqq2UWI/Wf3nqP5lCY3Q8ndH
9bev+l8c1Bof9dNBjRTCQagJ01koTr/vnyG8EfdhA83ukVmIM/enkxoPlmOjPeiQOJlmfz+pYVZL
iFL88qXOmf3PyFKG5DP9pBz9OKlty4IiB/gfiv/yTfwspGCpmRrRasHF51FjTVj02wb+ejrVN3qb
PsMhXJWwKkEaTwfLn7JtngWI0N1igv4ylJ4iTsdkfgBWTTruOMLSX82EgvKwJ81JqmFRHsmb09li
Z+kTwW6m08hx1lyTP7WOIEVrdzdth1dH619lmn3XqLUzBUos6fI36TDHsgZ7QpRWdzl7iCAbfNfy
F0d0qxWbrkOjiRTifpp45WaQe1VEkhN/PPlARRobCJ/f+6H50lOTxnd4UGu7iCHt19ylk/A6Bvn7
rA5PylJb7cgAW47JbjLBXGVKxfQ6GucpIuKK3VjFB5f2z9CqbyBMSoYA/opd3YA1KLVbJeUYSIMz
xuwjmRF4brVJ93Mkbrno36q5Pq6iKG3pLcW2nKKTb6UBT7lvhk+/iRs31bpolYQ2kcHQhFWnxg99
P93CqWPCUakUaHQq/Gi/um8yvC6ZdqUBs6Z908g8xZmPYeocwnak0DVUXWsIIVm3/T7QIDgHBdcc
mHI0OHYmraNRQ61kqM6PTVLkO6cw6a3F0wpWqtUPdAvEGycZvxFnnQ5BH2qumquwhrLY3uo4p5jU
9JOstH1l2CWoG9+/TkqOS6Bqnc0UoAs7aUa3jRJJN+/y8FpIZVssvUmRxTqmepvUct42gb6kd0PW
rIEF46A0NhbEu73hk6KVub9p4YCucdtbtMpmn5AYMlez2ECmipGt0xyZd8z8t9QaoDLX5TlKysnj
k8JnpgIqjjCiqXO/jnytXfe5bA5CVHesMEPCNf3oocvwguxgG6oNDbo1xhw36ObPrlZ1mAodiybF
YBpLcjjhfmHtoljQWjrZZ+BVjmeP8qvmwrGuHe0mHzD96C0vZbaToxf0WBzLAHeFpsj7PNTfeiuJ
qR/DqdDYVrprm5FKqmC4VybUFZ/9JQj6nPw/+GX4azCpIEx7FfR0qLO42I3U2NHq/erE4oO93dZS
xnYtxuasUBnMz5kj3Rhybw6rj8kxljJLq7K8vHHklbG7xSY94wxhgF9qKcd6oqZ0+Eqn8HkMeM8L
sK0ciMzdE3LGpFNvSfjpFUpo4/k2DBB/KcGszOlpZHPMjg/Q0UiwzV4qMwvQ7W5Ci6ZdUKc50KuJ
2QHW1lK1qdFEeaSer8KHH8aclfnDTDNnLUtyVlR1dkX+PaK7U+jhPhf2EQovvrj4OJNoFKyAQyU8
q0v5ZzERwjU4s/dZbdypBflCjc+7qcjE2Ut9KGvNPQVpFIomfONO8P/ZO5PmuJE0yP6VsblDhn05
zCWROzOZyV3kBUZxwRrY918/L1itaomlVlnd69Jt1mwJYiaAiPDP/fm2oWmUQPM7y+UaRIF8NWFI
D8S0L5TpWZfjikpyziuia+Sdensfzy3lo+HI8SJx2vaBztoexEFUmrT9KnVxYwxdc89QdmDGrpc4
4NWmr7dG7FpPYVpY+7Yps/CchVno7pAGzacAkGpwTCzwfIJ927LzggeNGfvKGsm30DyR0cdrJluT
zMUKIEbmD9x3K6tEMOMufOzMbjvTN7LA8LKN7DlgO4rOAwGHBEkRXLnzjKTRtT5lPLMPEvCc2SED
I9hFRBFiXk9ppq+6MHkPa+eqtoHvcehaT3FTbqkszHyndK5xKzAZ7+8rqyBOIu0pQX0/ex17FHU+
ewQku3Sy/LJUn9ksU0aVD6cEPKc2aJnftkGzrehf5l4LTlOq6v6EkkMcLRkXeTho6S4vGHk2Rv7s
FH1EBK9DErPjQ5wm33R34G0wUuarr/NqKheza20C0+Q5zAiQOUp6C9cC++pSpFsZYc3nDXPDjdK7
p1CzCEtNybttRMDmW0bDBg1oWbzSGD2gbeb9KusrMjRiuBGzMS6jgLdfLUS4zo3SZRCITpjo8Qpg
/AfIf2P0quaLgZy2blfXcWJBC6idQ0C2tWjUmBMgjFIiqLdVpF+aEW3DVqisrbqmTtDJ8REzRBLV
pYIb1S9U+yFx+5dksKPNMGYXQzkWC6aLFwG1hoQ9iU7Ep8kqhK+39r4MEKC6pFzHnrorG/dJBbyy
MVRiPrZSaIsOQmNuxIZvMS/OpwzWtXPDeYoabd18s6HvrIeZl63htheJUFDRnJS+6WkkI1Hvzdal
HzuOoNrVzo6WTd7PMBDTfsaUFN9kgXiuOmenV/xv7XToC+U+NfiqVZcwPmc7Xjf9WmjhW0KPgTUU
u0Lhp0HpvhP9ey0b7ULo0ebf/eQf+8nfTkak9PMr6MePgxEJKgVMxbj+Q9/hR3/qPoBKyQfoNj0n
jEE+8cd0mk9URHZseqrEm34fjDhfXE1qNdj8bdOUxSn/ZDDyV+HHcYkNEFQw5b+Cv/Dn7SQV0pZt
K+p8MkR0XxnsdzL060VeVkzCZ7F2K3ujcRNZE/Xoo3dPHx7RgY7SRTJGt4lrHo2i3YkkWVW9GzRL
xxHgGUNeJndYa8Ej6upVqOT1ruVF6C2RVZVvOkw8GBya0XNODHoxUqapQu3OnGTbtKx5AjH3SoV3
uCw6+2ZI5dS5n06elUFuyI1lGZENqsbidpqUe8r87ogadgtV551MgcfOVqZTFLt7zlXLKWpe6pnE
dkr7c99aX/WUNI5Ll3Pf5MuIA+UiaKV/pabNNcjfp3pOFpGurQMTXiNVBwZ72/HUogYQGRyXFnS1
JVVJr9Ug5mWrYsbyRncVqi2t2EVEM7xjOwgTijntBtJ/PmTICw2ElwGQqNOii7lzfGzxDmRLKj40
piF1Xz5EqveomA79sJlxlTL+aC1xn8YzEMhkvmuRnPpOKy+1QMbWineduGZfx9deJ3ekhjgQU9tp
YrpPGzSAon9Xa7akqjKhRhsG/KOYoL2ipO3CyNJt1Si0iUa2r0wF7C2dWbvFQBp1rZwgYVQYK9qB
jFQBld6rE8wA2AcFPJOVm6awuMYSIrrqvERTuM8NYKZ4txHJRzyArs4by9h2XX0KMjqgDFwSJN/r
qkSeQOretBatqgtmGDujZa7QWMd2pEzLKDg7R3m/NtXgW4pCmGajspAyfpKPz6HNiIy/E2nJw1Ym
214JfFEprDyrNT3Gdd/ybiUYoYGjpQ/MPWIeZgqiNt1a7yL7kA0GA5e8vokaTIp6K8BL6qHkb3nJ
cq67LWHO2W9setqz3kGhEdoG1xEpWO7/yy52eamaO3D790wXt2qn3w89EeUwatRl2+gaU3k9OQC7
YXvn2RrpBwSAoE8URhuJ6dPlG2wmTVMvy9GAP6bL/WnaoyaUODnCvUiZAY2V/syA3gJkOsUnAj+D
76GzTK4g0tnAnJvizLeG/NvUFGu9j78WIfMUj0bRMOL7TNBZSKVRJjuKP97u/3N2/2m2btG1xNsG
XhkpJg65Uob+8chZGmOfQq/STpm4S81Xgs1/a2n6xSU8TtuGRHxodFl+Gt9PZTg2SWybp7T51qXn
qbzNvcO/a9THGiW9Dv9b87h5fqmfxVveFn8dUMg/+V33YEyvYqDH9gxZR9Kxf1iotC+uzQLx/Sf8
qe8TfPcLXnxTxXzPf+mscv9dqGgYId7POxZbCQQWENn/ZKEyfzaQfEzw0T3411kqAwq8Kj/fhJQv
583Mo38awWET7o/LNetHsiqhUQtnbNeNkjbGYrTM/nFIxEUJoXhj0ziItzIm1z/h2A1yV7sOQ3tF
ZEoQf88d3mOxcqG287MV6DN26vZtsCumz0kKkAAiHgw5+4gLMQJCTcltyVz/kgdllUDSo3hoNajQ
D2MYe1Qs7c1ae0/H6X6AweeYKYRmOHmavvVizlNeIkA0SXBfkoFtQhDPlqNqMrSQ23cT0l/imHeD
rTylvfI2SBSg1G/8cWCOjur/WmEiQD5XLlu17zhRMeYeZGFi79nfZOB+iZtP8zMHBGcvMYTdVNxH
kksIn9AuarboH8hCCS8MoeGGxzDe2aVxzfD3aAA5nClFmvKzrZUDnIz0MvfsNTXOD4J9ecB4Psqt
214iE9XkfQrNEo+nfuXWwDiBe6h0XDd3hdJCSJHoxS6LMqScjOOwZ1TLGkKjCFtr2TpAG4lYJb6R
0ZetSqTjXHBoo3CEN3CQeCultZulCQMyjUxaszAWdJ2SXFtapi9H9g6LZKKUWYtRlKxCMY70JseE
dpn1py696zO8koIT+4LYtLoh6bOzVC3G/w0bz+wSa9vRyZze56HihEe9mcVDAr7CW2SiYl3L+tkf
DZu9Ak0BhJrddyrct2PUn6KWLYIhENEZareN91TLEarICmIWnpZRRmZqwZoptnZy1Hj0G45lpDSm
fF2aQ3EUsx7fEWS7r9t43FLa+ZTypvYtTKunwUx03B8dfOzJvfXyYWfgOQH30G2ymWQe2vGd0gUa
o56BIihwDhvIE+G1MKU3otHzU5ODQFX5LHEKHsdoKnDmxQQp2VL4SZWNZ9gQzcrthpIm9P5bg6x2
4aR6D0oieiu1aPRnE8p1jDqiuEVA9LOj50WxNN/x2m5bk3/Y6rWd3VR2RQVL4eS3qU65WqnFVCOb
5W3htsu2tZXFTC8P8DILshvE8S5QEjkRJN9VTKdBdujQTDH6QvbqWLE+MBqha2eCC71vJ/WZWhS/
ioZ76JpsUWRDT0F0YBmaHi1xo6nsQNoMT4C/B/AJVbCM3TbfjGWRvqSG1WyzbgCJXrlgxKJx25Pa
I7QASnZZE7tbsBGvrwbZJRSFBnuEfrpswEghfymIMEXMkyn6ej2qLh4IHU+94s4AJjSgKKk1zqt/
16OP9UjntPK/16PjW/5avMS/KrySf/DP5Ugn0YXzy9XZs+Bz5kd/nptMVip8ZB7kLUkEw/78n+XI
VL+obB44ybBP0g255vx5bmKlYiFSCVsj7P+Tpciy5VLz32E5/kjVgg1NGhZ6tEcB9id3tEOFgQtz
UDlpSubznCG4mvNbMBDqSa0MMoyhrglwrOspFNlGjcv62quFcqU7PcYhXlW5wyrk4bD1gJwvQVfU
Dyh3zvRiKcwv7SgQ0DmgpSeVJKjrsJRDGZGEGmtuQEbXixE/y4bet3HVl4q3rjX9a16m6ktYQWav
9LFcFxG09gFn36KXBHc6HseVIanuXarXT+UH6V0y3+eot/ZD7uyTpDYWA4REK+Jw1oCK7/Tum4DB
teglRZ6dNzxCuasGMD9J0rxwrBWDuv7SlRR6USfhypNkelYEVktJq69TrL80YC+Mie56l4H5Qpd0
+5kshd6OzTlp4DvkU5s9MoSebjTtITYb+vmU9DKuwgjYq3eVzKCYoLQcJxULgcuIcmAS0cRQjV0W
RLMlqO5KEr8jmfysL/E+dySnXxL70RLVVWNJjH/N4J7BJmz/viQcxdeinNgaUHkYeiTZCgOAiUkj
JP6rtC/Gq5nxKRwoM70aKREoZJuAJ3sFgo+KgXSe4zWjWPoteE9ltHTIMoJa1hIAsOUIDNbbXSIf
01uQwNKCFJmXwY3FZTd9kpTqihs73+V1TzdWQ6NAYCvuMTYHwge8JY8p3fVuftSqLrjSuugxiyxr
EeX2c1gTaBho7F0hEzymWhuugrZ8Z9wviGCHhyyIBD0/0ylDegbPId4j2L04ydvTJBCbhWM6vlm7
1JdBSgM9ae/qvnL2pGU1v0+mmygBwo91a2NG/IdXo32OVucuzA+aHfWFA/+A9oNzV/c44o69RFFM
hkOPBGjJs2U1aIokv6Rhix5FX28olyyTrD3UlccAhhuNFWSw13VlVRe2WRRLpaAaq5YEKnfuNkaU
PcljWKtypISo1eyHURiLrA9JVpuBe0lDyloR3quuNAc7EVdF190F7ASa0iEKoSvl5aRAxdJtYsFh
MW8lm20hOHreqkkQrFz3rVXGizgjM2I6hyliLXKSaFONExulec3vfHKn/GAJeH29cmFp8UFEqHJx
ZwXH3EVoF2yc1l1EU+M0hrSjZTvQvdu04ktyI2byQ0xuInHgNaXuc9gNPIF2fBp7yinHnKG40vaC
jH7la3a281pr5dbs4mt3MRCoor7g3XZiXi1ijbtmXWKbVHtOfaGuXpccBaMy2Tm9eeHRSzdoLdGI
lugAwuWdS0GdbnZ3dq+60yL1Cps5oWfvA3d+Lyvt2pq7ndO5S0OIld2Ohq9G44WlpD5I1+fINjaw
uldNGJaLxMJQmebXbqG/einPsMiMt9abrk0QZ0v2SsepmtdKavol3zGZF0pJMOcR7vH7WaV+LRAv
UDVvMethcEuTXd1FZzbwJ+GyE01CCUfbOqIAusDlQZ9ciXy8nKrJ14mB5UG3VHDqUWSFqS7dOuQs
RJls7WZc454lPqXHL7bbwZAqtwo9ISkUtaksTnmpggynI1RrIccnXXjWMUXGfbhlWV+KQjkwpFvT
a4uIylY1Hf2KRwTbsB/U2hLZzQ/a7K3O3oqgux7Jliauup0YHsZD/tViTNPMxlIzuQbyhRnoJwaD
N01rr7EPoTCP1+bo3WbJrC+x1oKDgpUhTApnA487kE5g1L41pr53CkEvecOtmWL6TeQubZdCFUjf
O/SU7TjXX1Wtxerg3th2+dWNmuuwn6468ZpP5VulqgRBRw1bLGcPu1w3wbRMQ3MVAUwKjejKqKNj
0RvXmD7eNaVd6DUmTTj3papuFa/fuo2yVqPsJrGKQ2tpd1iMFk4AE8K2ylWggAhQuzWP4mXjuWvN
aPZGMHHBahWWfGD4MpdFFcCtN/WXoSu+8lcxtqU9a2rYtfEkcXKJBn/KQTbmDaKQcgFNbDcrDile
/J99na4jer5BWAaVz6iWfaLtbPS2fxBd/tRS9jOVzo6JO5haSneweG5zIBfqKLBIWR6xt/7rUKsP
RZ1cUwDAFGLE9dHx2SE95u3WaS3uToe+sP4qL7KLkqhar3Q3Wexs3TE4gZvf5abY94F2jApiJnkX
r0U2nakiR9AfFuXgXiW1dzC08bG0ZdszGpnuuXdBbV81dXPKG+u6G3FsuFpz00nUG2ylhfSH51Z2
yKxwj3KkLgbmy7V8Uc3F1yltL/SabX0JzgC1UBYlN4Pc9OSMGfK7upz2ml5cKLCrTkqADgZ2Obtp
wND6GDr3NYPaeRjQ5lIWngRiln2XtIJJAHk7YsbtI6hSnFMA5wsqjGLt1aanNW+rr2kd7VRdO/G+
Bfdbpwi6zQWHF57LDHv5rGqPkdWUa89IbwUeYqTVdJMa2pmGyARXGdpdMRhr8vDbILX9QVfEKp4L
oHZMh8Ih9LVJX6YZ8b4oPzN03CTBuB8BtZUK0eUmeW5ri5E8k0FcScxoe2fVdeGqjpTcZzTKGKPz
RcYiQfvUtqc2uu+tdROrm7B31rE6rtDVeP80TKnCcV6PIr8ARndRt9Yts3/WGs6beYNPCiCLEg3K
PtdN7nXmLib6qVbsMqU9zlgVm7p86VyZxAQzEWTjsTcRFYXK8vfDlvb8x17wxwj/X+Usi2iPLqvI
Zbjnc6KmHeq6prpEOamCQXS6KNJrhYHO7y8iY36ft6Hkh5ANDXp6DEks+lGWw0Oh2thYlNPofqsZ
5naPY0FxzVJAj/79lX614f3xSvJf8kN4pwjAws0BV9Ldy8jEsuRoq3neFfZ90j3FuNZ/f7lffno8
TcAPMGUxIPn5cjqzaTfIivDcK09td1GFL3n28vtL/Oo3YrfMZpnLEDT5dInApuTJm8roDIEtGTYd
rQBZhMgdbmL0f739A/rxDxRUvgjAUei30uRrfzoxSD+DPqltfKaBEtQMOOpwU6Z/8zv9rJB9HEt+
uoj8+Q/fUhMorWUHXCTB1drWh8SLlr//1H7xxfx0BfnzH67Qt3NL2wdXwL9hE7RN4VniBfn9RZiI
fb6tf7rIp6+mTKe07EUTn0fFWBBU9uKzGTe84B4tTLbNSYdA+Psr/urXQvCgOYz0jwVa5OdfK41d
EQM9jM9OdUUfrV9mOyd4/+fXgOIPLMzgPtA+h8vhQyq229fJOW+iFVRTJy/8Ibv7/UV+9dEZhOBw
cWsGrLJP308xRI4DISjh+3nM7UPESZFWiIUX3CTdhYmxYwiufn9FeU99egfxivvvFT99WURyifBr
E34pxjUUYSIs/83LQLY8/nAJ1F6M7w7dB6DXTJvn9dPLpylMEPujJs7JgSnijsXzSLXeyrqKri0/
X8Vr11fWv/+tfr7kH0/Sj7/Vp0vihBMjpKTk3NtkdvEA6x4vhWL7+6v8+rPDcK+yclq29enbsmfa
vluCyeeg8nwdawy5l99fQX76n78dfIzcbZDhJCPu5xu7bHRQg42SnB2OvpOrs9t8ik0aXpLkb36X
X31iP17p0wuOKV9RYy1Ozpr1FrlXVnBTzX/zevv1JeC8ax4zB4ovfv5lYi3tXXMO03Oen/DiLkZg
3Hpn/81S96tHiJvtz6t8+urTGpj6FHKVOH3JFNgEyqo211ba+Wl7VtJNZv3Nd/SXX4u2DeYapooB
gMn+5wYw3QucUjhFdm77DYjlwV5V8/Xvb4O/3GifLoGW9uNrO+9DPtCoys4DLFVNCZdTYv3Nx/br
S0jvq8qGB53t50sk4yiUjJPWuclelBlsXPw3F/jLrczvQAqGKaSF8PaX8Q+vTociolmc2eeJDgNr
souh6+Te28dn9W+ISVIrf6fK1i9vr3+dEMo/9acki7oqeZVEfGFC2A4/+lOS1b7QFWebHnoob60f
JFkDnBc7YSzRJHzBU8oY/ncrC85oBssOsSODLIPqmf9EliU2zz3237fdhzPaYUxJhIomBtI2n+5B
Q9HRQqo0PWkq8OE93MhS9eNemApuR1rbWHZJ1fhdlVRXdJstO0BY5NK3426nBskml5ZYKUG17j2q
DpTHuL/VDLOGFpgV0ddAuuTslqHGxMbVFx8WuhQPKX0x21K3wGJgtCvS6TQqWc9+RX8OuJF9+lIu
Ssx5uT2Cd8CuR/vDppT+vc4d77Eyv9qlc10aBX+BMZfbcLQwe7jF1my8qxY7YF/UsrNOoCFJr2BJ
+vIuwD6omAYhGXUC4jNqJ6Y2V4MAO2hL12Eo/Ydj7W57u6QeJYVQbeuPpvQqDsXUrXrpXyyKql+x
mUi2pSFAQtVQw60iwI5YRV+7tGqXuVWmmzAlfzDLJIIhMwmEX4knDDKpgJuCIzBjMwIMuswyjDLV
EEUqXXsy6dDIzAM1yOG1I3MQtkxEFDIbQQ23dYqxzPuhFmuXExGKSmYpIkIVhUxXBDJnkfVmuoHp
3qyjjxhGLxMZOtGMQGY0qOzCCRgRjZlkggMbCWGOROY6ApnwcMua058g5Rny78ireG86iq3tADIq
6Vof0kU/Oan2TasMc8mAceFUSXKM+o6ZlYvJHVNKRDHrwgzntWqJK5OC0sEfpwJKYJ2+4ah/oCLu
UKhYrYUzbDKclL5jWcfaU44NTCpK2uKlVWYAgfN9qdePupIekgG2WKWLWyNkeNxKMCuGRT10LikS
wRsatU6K/3yCbW8YvUHZrhUl85FmKOrj0mGVlrSZG2YfoGxHu04EZOkClIfR1t2VmMOXeeTVG6hF
wYEblbSQWSOL4j4kX+sF9bmWQaeUQoi2WRrRuOo04sGyQXBsR8CplOlhFUqIaiPfA86/bO1BLF3V
wowaQioHSo2ZmP9nIjNMyC0Ohyg/VWUCwfJS353NfjNFcb9URxUI+wBTpMa5PZXgsVRi13Y8ggq1
kK/jjCoGVehP9qgRMZiKm8GhVNCb4HMHeeOAKmXril93wRTIw83vvIkgfM0Konw8YcDkJ7hEbG46
ugu4BxDEGYD6XTOJVaGh/CJaePTLIfVrZrjM1bqlBdtq2c4piML4iBOnSPc0PRS3/64hH5M987dr
CJ2s7fP/8etu/us6Iv/kn+uIJmvYNRKvtsdt+dNoD7ck20QXu9H3Jea708T5AmWZlKrHM8R+9sfR
nv2FLbvFJhpon6lJjMQ/cZp87Lt/XkdUmzSubRMCQiD4jFP2gGLZoeuWp5x+yjW5aYgJ0NyX2Zg/
xLXhrvSk1hjLYQfIUod5j9XuKkvjPa2KRSHEsB8y/GgiYnFo1W4bIscR2LYwVRTkR/MuWXeYyRMn
+TYENbnAHgQ7BHFZnNjnK0dY0GfKyTtHlbizalTwajAYU6XzYUp5UkNazNX4gabOW8HB9eRogeIX
o0bgNXbCFUOTeC+y6CEwIRmnTNDclOQn7X9vmlKDzNOV4TavvK1tOxdJOU5rlR4CpRmvKw13TcHp
lx6Wyx5ULv1eGwvoPYFzWLiOtM9ZoFWm4thYDki81tikqkf+M2xeoJrPDOvDfuXMU+0bcbAJ4+qG
wf06GiFHeCaEyLqOd33mPGnSADmMw2Ufwup3ZzkNgDHUjWKLHqstx7SLsHNLS8t8HYRI4pai8dF0
cX+RxZg/hRVewnjde25a4aehO6ZVXpMko2GxqhyGPvFmmAlWVoHDsKVPqSGJMFp3M1ObzD0bISuJ
gYMPyylc/Na4plYU18gr2tO7w1/XTXxkcQUyPtKa56jLTbwpDoQvp0VexbtuyAmqYeuLIuuxzWQm
2sTUbN3Cuw4YhlwFWbStxmRcqZVWrmKraJZsrfTNrOu35uzgVelJpSjWXQkRel/1Cb2yeHamOD65
TGyp303XYEAvmqI9D0GxbEk4wotaF6OH98eKHzyzMTf5qPOylHUDXlat59hB9p6+6oVYm3n/ZA5T
uRNGf903CgCReXjjyuNqNLK33qm0E6Yig1zFdE5GQJNBGh29TgkOtIN/02roey1zZWo4c/spUoSz
qhyQffTd0IWmzhyJoEsw9KJBpVeYeIVFczU2hS6wGYUtpeplxbTDdl/d0h2APxk0WTjruhy3rRGs
J4sRsBHUj55Jc4Q55VszLbkEWN6ScU89kAHpLD5iNww2iojmO6PEWU/70wAKzrnBlnnRatNbFlXp
Ukuta8ae4YVNgAha5aVOP4zm0RST2uwBUFxek7n06K51XkcZSaKtocHJS6al0JqrltIDHsRjQDR5
yUm5pH8AVRh+MUuQuWKtMLnD3W6hjRN/giHeIh/CaZ1owXtWBuesnrqlKVqV7tUOunFnYqqdKYPS
c3XVJVkJhgF7j9bj58r3Q6I3yzjQH5OSaYFtt+0hMhX1aAy19aaqQXpbqNhCs96dFPT5iLn/v6vT
Hz5IzrX/+4RzHfdvdRO/ch7EDEnp3O71//3fP6o9pb3+++KkmV9M3vucZlTUJofT+vczjgQTc75w
AQ9yuQ+D5Pe1CUMKZx7WM444JEB/pA8bXzi0spbBdf2PI+UfrE0fAt6PS5ODVI1Jk/XPtqXl8pPM
Euk5I63O0I8U+VSlc1BwLuE48Ey1EerSM5P05HW6kS4jO6DiJR66mQVs0hwwhuy4mQ5np67gwRwE
7BTLyqGNpMq0HPQmvxAkSm8mg8RQN5rlgeK+4qUN22GviyG9MbWBSHpBCbTfjs5boMcQ5U03WMOg
lNw6rCpPkaqqHq9bgmY8RsTfs02qa3QmZznVmBScvytGPF/rjR13zP04cOUT/VuqS6N5aVe4+xJ9
QSkkdV8R+2AhuuBWR8a+7koli27UxErDZpM5WjXvAMAH0FlxEJEW0hxapLkgOX2muj2kKmiu0+AW
0zMD1/6qrjV3gKRf6yaPJsPxS8aqyUpYcZXcKZQbC6BPqeOwL7arejHUBqE7q0cuS7vO2Jk9laC8
uUF0Ym6Tgzq3LclH5BadMH3tWRd9adTPoFJZEERENgoiVIO5ourhY05xbhjYv8FjThGH5yUvlOtZ
ow9mq0NyWRZO8tImWbQvARvSWoTrZ+dWbtxfw9/T1lNt5bSGwHR2hqPw6GJXNv++ET7eCBi9fvNG
OBY5XLO36a8vBPnnvr8QCH3jQ+PpRkIlriN9yd/fCJJs5kjJy7bt/1Tzfn8j2F/og8QtzwNryJfI
d8nD+kIQyEMwl8wWVMZ/5ETDl/1Z8iD5hVWUWDnOebSIT2qlKDOT0ZxrXwpj7telGpiUJjmPDqe0
wuke9Na+S+erYOo3xMVWeuVedW14F2R0dGDYMfCHpnRnT0eYEKHyYgzpnVCY42tGnWymOv/G6tRC
Vwp3pUi2akilYNkVeNvqwI8orPbJoTzRWFF+09o8Bi+ZDStwSgGJ6ITgY21vg7De5wOTtcSIHgR2
A3Y7jzOWhKx06RCLq+cpSa+8yHiube3r2E+6jy1FltQV/hSlxbKskouuw+dliaJ/mFT3KSaLd5GX
WrDSBsteqmVyl3bZkzo5884U7CQpqcUaNm/nSn/qG3HpUVM02c4NpfcpPuXKKzgEJ8NdF8WPbqxs
B7V4aGol3Dt6ufRoOxN5f6klcHqz6XKc4ksJI6kmDNRBHL0W4CbCNickaw+XnuRu0De4M4s1j+0C
462v6zeSfoltp00fKz2qFvwTN00zS/2mX2YmZovWokY2TXQMBWawKKymQajhzRoMUNQC5WCLYtgW
LdvEIO5WQ5Fg+7EPRELntUm+3e+zbFsV2WvNuBurasNZvFY3tT1HGIq7M/0eWzXBtKLSTLSJcow7
Md62LOd6AN8aK5zRp+pv6jyB9VKZFFFfVTCopxndkynrA5aCU1Z6l6I0l3ZCEy+Z3sMQRpCKnSXd
alAHTGxAmWqRcJREjxBrj28PtJFlKUzezGkaP44ptYgdNtFT7OEZEyRUW+cZu9iOsHm77hpcN4SU
pNnxanDsxnc0ttGV8TLpSeWbVXKda4KGRL45pTTuLMKelchwjXOEPFSKtsvc4lgm4xMZsvuooa2r
ctn5DVOwnG2b9HzSIWXUZD/TpN3RsVEseyjyXYx4MSMjSqTcVUCenN34uKWCuljXIcluUC7DIi12
hh7jXnZwYxEYKsryZNYRXB91gxcdPxLGprLHSjhlxk0y508g9tmUDsdiJkSLa3FPEvugUsOlCwDi
mVru3N79ljThzotCaAKg9Gy3uaV28KbslDsG6Ts1L/YdANTCtnepGp7gpjzlTXZnpxUf6jwcTKO+
wE597HrCXLhxrjLRb8YgPpiy+nQetqVX7DQ5spjMLQajfWhixqon46IEtzw06lmNzGzdzRTfhO3X
gRo7fKXzOq7bE2g7jjKzs689/dqKy4s07tmXT1TcZaLbJT3UZ7U+hqWDzarHgkmBCqbOm6ZoHsK8
ugjG5NhF5jIKp+tczXBN89CnGQVzQ/wQps7GCoutsGN3R7Z8Y1N8y93RHo3ci33KkpDYwh37nyuh
9OCE1MqPunrXe+pXdQT/6qpZtvT07nqIrENHr/cCpDicvll8Re/bOl3vlzjSdTBzfod10sjsp9n1
NoOC0OYNNKP2jzlRr8ZS3+cmZHeEyDaDnYlVtm4LZ6bL91pn4+hn7pDpa7ewePeNBrWdpgB+b2cX
XtgdYPrsxrZrF4rmXURRdDL77CIIp2GB7eY4BMAOYi+X9bmc4uvsUlG9TVV4lzUgcLg141pUqsaB
ULunTOkw0gZgpArBvuRmll8hwsS3Uht5GsMVETAgcMrDqPYnQ9Mu1ZRctO0AMZiGZ10hFRmXIbY7
WlWrlu+i1qx13oUxNXPiqTSM4+SJFldMvU2LZJPm5DoaW7vHS7evmn4RRYjXjXLVA73ydfPWCTsY
x/O3JHNu0DTCQ25VJdy94LoU+VGREc2AXhhztp600t44erAwDfBJSQv/fqhHfZvSxKbr4Vs6QQNh
wk1pqjMdAJzpa00rrbUaGxunQkLgpihBfyFt2KG6bUT3tRnimypH4ejC26ButpTFhIuRuEQ+xBt+
59twyh7aKup3o3lOU0xOKvWhiU29txg3llkQLghvY5WDnWv3WwUcczvTpdvYV3OmUY/r8dFoJ6Wq
80WElY594k2KlrhS0YaXbi31YG24Kg372GSs9yvUSR0dYKjie4uiN17+yCV6TruzgM65jiqbcnRs
vbHb83TOhwr/9sKWag3a6bYeAfOFuXcGQuViPUXXmRWIULrUesIeGlTfiW89MpBp58maFQZ3L8C3
ZalLdTNEh2+3AZLFcpRaUtF7/R7kIdtUOmTzmkwLT/EinYBgG1KNQlaFoJhlD30R6ktValYOiOG1
FjUcY0Vig7EU4YEBCbJWpbVfE82B52XN/5+9M1mO29q27a/ceH0oUAM74t3byLoik8ma6iBIikRd
1/j6OzZl2SQty88n4vXcOWEdKQkmio2115pzzEphDNFbp7rPJjRrE23fPjGBvzA30Zg1TMli0pQD
wvAdTpUL3Y1X5hAtHR38Z+ld+mW1b0sdUTuJq3ritstMK+89clOlMmxZaTUE43hYtyacJ6NpnrqI
fPjYfTA946zrUSlDcSJvYNV4FsKY+hqJ4rhwneCRlfVWNaoNsvqjag0vtLv2gBNoJAWI2EIjn9eK
cV9M1t4J0zNaJcbcdlJ6QajjCqR9La9oNuYoKyuPaDJrkcT5ZVNLq1A6bQvfPlhDuIEASi4yXRIB
6jlX40Xo4NO1I+Mk+vSqwebc5SPk+Cy7zmi/zIkN26thv1VV5UyY2pxSiBSmctt4Yq3EwdZ3yj1U
ljvbNPZJpu0qgzet4RJNUTx70bTEVnYaPCoFwpeWkxcs2bLOrbJ5SQNxUIjSIvIM6Xi7J8z3GawQ
WRYi2+ZqeFnp0ZIk3TmbvHFmpCAmBvWqjhVkbxm0WnJW4IH4S9jwxBHCrZOW3BbWbRNpm7TV7xme
k9CrDStLQbHOsIbSopzBuSxZ3eP7xMCspJHC2zNsEjHzdXqUEPCjWyFIhnanC7IJA6R62vXYMwmK
irscpC9CYrj3Shd+86q8I523b5lqGOegNs893/g6qIRxMahdmp6zjkS4FaEqVsR47rt4eilG67wp
NL4xHdODrXOz+HlvgdxxIFmOhbb0Rts95lq+y8x2Sb6EjWVbPSWmckgaHLuKb6xqcoVnnhUAzquR
2wWj/WD16NgFKw2qxOEwDC5iYsCbgzWdCsV+0PXIWxVhea+ym56pdruK6y5BQsi3dj1tI+TSQxbp
rMvxfvkVKFDmYGcF85TYV6ajolf7QpOdS+TIi7JKXxlAEeA5lqDG+BNd2gVN3Ss/HAoMXOm2d9Ai
j01LyIh8a1vm/aDxoEVMUxbVgDK4HM1zLQ7Pwb/NzcgMtk4w1YcCtSl2XuNOh1Ky6yvvJOrkAQeB
uZGPOwkrDEgy3uaoFowHNwCMV5gnrR/CgyBeFDPc1i/Uax0AyZRbqmwHrH2VSPQ0PpQ+3jiHnqxv
pa9MG7HLGfoSW9R13OS7EKxL3NnUmf2wBDd1P2rlpRhKCQZwziPNP0+hCiaOOYLNjW7LRDyYg3GJ
oi/fWwaNtxbL9kpvzIcpxW5fa4oMT8/WWccPVkptlRMACmDO7DY0b7Gb4F4BZ2SmqnFFeLXONqKq
FHNJRo6pR/PYsJWlroXeFP0z9QXjBCGHEA5TA2YKqEo+6hb0UFUHUkLDY1QgJsjO6mmgm3L1blt5
8b0/814N+km78NtBbA2YF6pQtpIfDxJ7xCopdR0e1XGrZGcqIb6Ked3038dOfykyZCf6bv4tRyN8
F4fBt6kyuAAN9vEwHr0XdgEqhbv+2uc3ivE3otaf/HyH8bqqY9LmdH0+V7UY7Ty30+SY9dxoG9d7
/PVp+tnPR+LBGeJESa/Wx9/fd4gwMqwyPbrsO6wL6zcD+F+en0+azz+dn0/XmrQcZgAspUczpaU8
j4E0OgsYxsNLEi1+/VV+ciiSwkgscE2LJqL4dCkS1ydVa8rjoxptUBiDEC4AnplzXsMQoH59LPlr
/9ETfLvsHy4L3Yb36h68rWnn2ElyLIw5HW0SZXi0WFPHbvXrA/3sS72//p++VOZEAmHu9wMZMIRI
gAhWvEfkq7j4m3tN/tKfv5SQymaZcAJsT8q03ilNDSvTc168GFuNlZc8dsPS8p5//XV+dru9O8Tn
222qLWol5urHzH2MvAdT+Q9uZ0lUcUxJd0E18/Er4Lq1GlPBmxuxAhpQ0cb/YPHCzMiwku6PzqyJ
Gev7k5QpGfW9reXHyXnsnfMWgb3a/M3a9bOLzk3M0FW2xTU5rH1/DChuDKjcKT3i2cA9BrpMs05d
NcuLBVSVX1+RnxyLPjltVM1hlkv/6eOxAo9hrIis7BjIPfWSRJdgXDolbdu1fvl2qH9lXvJJ+esh
yEXy+PyzKAf5qXcNT0y08Aa+NzU/gSBY0YhmtHnL8ALgAv5oeMooB/AdtEgRDL3N4H/veeK8Zbpt
4tlF+e7wjvon43k+xl3wx9LAoB/6pXQFSJWXLpXOH++Sbuw7s6EXfmzAkszNhlTAbryEVwZCTPjH
VCujZ3COGZw44xo6HtNrQyFD1ulflUBd0ZY1Z5PBQNQHmAWWlu2Zwz6MXLWnysd8NySMjNk+XDK+
8Ncq6LZ133lnwDDhBRXOU2uEV3Y33QU8e2x5YO3pBTHuxIIxwi12RkEGc+oAfDBEtpoS/YpjLfqG
cUzVM9XW2xF2u0tjikHEWROTSm+DmMWL+S2q3TOTKk81h2Pg15vc0YoZdrWTzmBlBZa0m0VmdzHo
tACkH2Tm6KBwcM4wntRn01TOjbKNtqpJSd4X2kbDSLwSDcb/mG4EM+3CWBqxt7bjhAfYSMXGK8zr
SuARHsWiNYxlW9TouRDsQD8ct0RVmPMmC1yaMdOtJb6BeUYKMcgs3R2YiXsS7MJ5EWFZNSWBrB09
OlodNAtrGF86lRADzVk5hoL5VQ1ufY3ISNBL9FfYdFAogwmQ2bkOhl7n3CH918+r21yxnmj47tHm
sKOaFjbG0rLWtkSanXSmUxSs9qXLGfIQO8yUHJZakpxXpri0Q/UpHibSCVWhMUZCjyCc/ibVzYeI
kkIvHHhGXWauilbDTzA4ezC/12BAs7k9qbdhF8HQz+AZGt5NMVTn9OSIVCC5oE4SyKnB16FTrguD
pk0wXDbAMVRbuYdM8ZywaM0sYG/zqgCePMm2gl6Xr844XqktsoPSFGdcpkMfOWwXiDs0X2mHLD1d
UiQZ0RWOlAeYMiwAi2PkkhTsO+spcqxZleVfjcwmkL4e5yDiHs225/7SaAemPlrErskPWpd887gj
RWWkC5MoOC2xd609bnK7+dYpwDL0wLi2EML5ISDIySsvNLVvcGUC1iRlN5hVyhgtlACX72i4cnoV
30YNJ2nKkPpZqD5mZqpfNnaxFEWKHTKtxBLfGpEE2L/O9Ta/HWqiErYGz9xDih2NtE51E/jstuFZ
3uTlGJzGvhJbj2A1JID1sEbDhpys7U0EmVq0HNuABoBSvNKZbwSNirJByBd40bhs0ricbjorl+Ao
IiFrjJJebF5lnkFrmS3gbWhG+dLU2iuMCnCXRhOTrUm6YE+73Y0izBZiPRZ9zRDedRe4s5Idmyhn
mWIApMdhPOSdFeFo4nFLAm5pAKHQpcg+Dnmtz5UwXfiuGK7cYrBnOS2/IZi+4V9HIOK7C1LeVipB
LG1M0uZE3OkyI390gWV2VZqI+4c7pfUXk+rehVa2ClxkE41LT7RptiGyC4zSKIvyiyRsV0WngIdU
anrNtPSVrtmZQUYIWzzAXbKvOLkaGYikbEbVxVC2NyIWm8ows7nv9U+1bd7muXGfqmiSdIyVUQKx
tSynSfZfby1UOESJk6VMm+m89zqBigELYhwkB7UHZI+Klyg/5DBlYz2wTS5meon43Yhfx6m8KSLn
tijDs6QynypAPHM1dY52I3Z2m6sgdgJjZpQ9PYiGyGrV057UIbp09ezAtSth36C3a2LnJu26ngfE
aCBZucGSTfbCnhQTnY+YgLeWi7zhWRp58pxJponq25puGaE7ZEi3LAK6tlM1Z4/C8wBqAfuhcJgl
gW2EtgXD1gjJwWgd9Jtmqk1LL25elABSaC7KaNW0IpwVhXqeeUIh37EdNzotmsn3HpUxPQTxdKOM
SHuQeTzDSY6uRuSy86qnp16bpKrDMFg4fvncs4egtUuGe55mN6Fr74OieA4JQAP3oqbXhIxvlEy/
wYuezr2Cq5E4KF7aWF24nsuq0W+dtPAIPW03buSHNF0XuM6smYofu+hk9hAd0d7iBaLap9EtT44M
KWqhrOnLStVGehaJn9E5pL1Tv6Fo9Dcszb8l0ttUWFb6vyqR2vSx/vNMWH7qfYkEY4R561tB41IH
vZsJmwyF0Yhg9tPfyI2/lUjASUz+CiYWc1y4WFIk/2MsLL4gnNctYelYx98mxv9AJcIA+nOJxHQZ
3LgUwmM/ZzT8sUQilDLLsGxrRytBLL5B0UvArFvGZ5GXzM2pPrnBdOfBnNPLJln3vrgjmBXUUuDR
BPXXwktIomHRwVgLBDavTnaXA6tT9y3BCHY6bI2hXkztxoqUByR/vAVY1/yjFgn/LAdWPbctCgpH
o5kS14zS7HH6lph4qMbWimcQHB4c0yOqwlCIVuybhylPN71OppJhdRdh3xjLEvoef6/up25gPsgs
AwgZZBUnuc2UdoQ2or6ERf3aT/o3V6GHnLdxQI70cJW6A4vaQF7AqNxVE0C8YUIiiLYULoE4z+xx
3CtmfGnL52jIEKMPHm8IymH+o361vNbkHwKN7LQFdmx9AXUWRbWHqCsNyAMm2ehZje+t8SKoSQyt
sRhYBKLY0m3p8aAuWFRHc27FuNUZjZKNuCiMsWcSYTTiUQvhZS/DAdsBtMMAdmQWb3BPlUvAmCQL
mUOxVD3cWjRzZOcNurhKbBaTyK4CuhhKtbvfNydGrqAwp6Q6dbkRrcFAlrhyE04Vknx0lmSLBSUU
5jSLUaSU9n0+VTq1BhJyszLdWZ5DQW/kO3cQBIp4wrOYsvTjCTWDCTYhUhcRQK0gt/OdoIWJOtAM
zzy0OYtetPUuwJq9Hip/nNF/xJBZ6iFNrcDw1oSPveoidwm/Ldt5GXv+RrOVp46ozBliYPJsuwRY
Y5nBi2dSvzFV+0UouTVrIfYumSvqs0qY20RtoUBbUXLhGshYNcLFwd+O4VKQ57I2EwOLe1dbazco
X9JBE2tLZpSXlZJcOFPu7zhzvFC8Pnt0c6aE+hiqG0/F+1bDmZ5lOsRiQ2viCumQg5y0UrKnYsSc
mwOAn9UWOsTGVap9D1ds7/dttRYBKgbgEsa6aOxkycUzIW1bryENANgoAaAF01jXUDIBpBEXSre7
oLAiMuBJTalcqMVBdKAqBJFBW7cszG5J9aQp/JaZDeayTZ545vxdFelQo6c4a5YBDAYVvaZLPlpn
VdFrAn51g7ZaP+VUgChnSR1vvEllJlyE80odrhNF8xnLJ4SIGSJGwlDeEv7iz9UJqFcu+nxZA/uy
uvpB8cu7JM+ol1zRL4N0AiaU4huIVEdqOKNbLcsvorIOv46COZce+AHTORcQTEEPe2pPpNsTo0Ng
8hygUbkVrf0SJN3XVvVWve8SVyOU1z5qCBjJwgc8IzukD/eD3Ttro1bseZJWchERZ5yKbRuL15zn
VGm5L5rUvVZd66LU0ETBTp5lVX6O9PtZt8Vdlyjovarhopkqd+tW1Saf6itgazekLXtLtaHCKdsK
h8sYEogajmtDp20MRtQk0CDb935Noltw6atACRwfVGubGOXeUqfHIYqwyGb6JsyDXex4R9foz5QB
fN0I4ZAnBfcENg2KnDCBfsHY+ilys+yrHTfRxjc6RktmC4KQEm1n4zSemXYO1d9Kn0RtsWapbUbT
vrzIe+XKrut+HcVxuPOZS84GMGfLGMUavxI14AgDb0W1iREm7/1TSst0VvO4nFr58Eyqxz5MHrQp
rGAZEc+wVkmGvUz8qli4OrNdVpiWvEGbHZIFB7EwtXE5RezkIKIkrDDOuB7aMVp6dWgw80rNpZgi
m/ml9VqP/rSIzWnLEPeoMtZPjeiA4TJdGr2qr43eSJaGWnirGFTTKnAshMkebDoT08lGtwdLprhS
sSUTE6ZQX+uGTCWK+G2DlKdW71G0JhkcLDtIZMIJq5RKENG6R1R7sqrOkjBWH762Zq+VCA9IlLLL
LYmWI/kwMWcsU7/FHf/bDZKCsL8uda5yFN50NT/rYeWnfi91fsmvtmg9ggY11N+0sj+6QS6ODCS0
qNw0E3Ks/IE/Sh2woA7ZJc53rBvtvn/UDXL4Se+6QdKqTU0lTN2lG2VgDP3UM0TUkBQxWqcjkS6I
cyx3wntg2O1zFeFyM+MBi5EXbxSPyIdIE7dew9DMq0DUEBP61KTJFch5MYNIu2gb+vReET61irqt
u/IQK5E/r1h32eh1lOtds4KK8hWbEpYyHYZKWpbbsvPnxhQejUbZMsQ9I75gplXwRVoPDVM3QhB0
aneThWwwe2XhUA80vZ3Pc2W6iO3Wmydhf6kbzYNAcE7ZkJ3GWNHoryrXShBWcyjCNQFE4cr37H0S
3Sfh+LX31RZAU3RZV0x5q7Kea6m1h2OCqwQ25Jjn+plamECwJ3OG+2k/WQWGjnbv1t63QpBMrttf
9dGOT+ZAipifeWe9iRwAa8gDMvRlDZrvEZuHBIy6i7YzaiLY7LWddeYyCgdz2bBIKn5xMSZ+sCTF
CBlXfBZOxSMRp/Wq84jI6iH2zwO9tNYZeWHegA6uctObsfCOddt/TW3QdrGjHwa3XDcm6fYAzGCZ
Inh1aVSUnnWMdWakVj9t2l5T5+MkSAITKzZGZ8BR12rjkn/mRqcsVanYsoGQ++nQgxZdEgx2Hwbs
3Du9jGYEVd2WNfKYOG7urQkRlJT4NnX6mrvVGdpPn60fbpKAsLOMaXVf48ODHrWpPUBddelf60lF
ilcgRUpseHub+CbdDr5lvnPle+OaompYpnm6g6YN/N9QXpBP7yc7W9lRc8f/t8lyNC9m57rg0EFZ
BFEDBiJKDmJIr+1DrhGeJdAu2DxDC2ooIk/a+pUezyZyKnRSZTBv2spnaBqfaW25LPI2xQ3IvrhT
6iutq9YIox/MUVsjUAJb61r7mujxeZOT1Zll6amNgnGFW3FlNtg+JyrQMXCQS/NWm8dTdVYINIlR
SiooHba17uf7GPJ0IlCtxSAzzbjfRUETzYNqPK8E59709g0SoZnyRi1s6dvdBVljoPySVEPy3pxL
XdZK/syV4EO1EOUl7xVoiKRSrBr4iLESUM7r3mvso+2wwEYEGGAzieJxsuG2tqunJm4pavP85PiI
K4L4pGFNchHUzJHELorBmUeG00GhVauVazXnmpGYfLkCowqaF2OIUFByrxIk2IP4dEgmRA06J6J8
0eTDyrBH5I76grzbr2zLl+BgbrjQAew8ZTuGyiErg3UQK1sC8WaMDud+hPxM8TZROiLnoFQc6JSN
5kTHt7nTyopUthFifDqsuhTtgBFGByeEpd5QgdNsXPcCxVCRckFuGymvHVqpvAED325DhaI9zpzF
mNaLIBT38PRjqvjg0BVCW0xlKKAe2XDcY+J/SpWkJ/Fc9yYPAfLywZF2W7EwivEMwO0W9TqkJZ2i
kHct19aaeUq7aevqGdXcEa/Poo7MazUkFlWM1WGCWE+RQj+BXBi0+FTR1NMrqKdXVuu9lKTvzUSX
bhvhu/Pa6Taa7wxzpbQ2JoFvHqE99D8Q+IYInRCtzwOzPeudbI/NmaYJuSWm7z4gL5k1trvBSIUq
R10Lp70I7e5O1YutpHchyXeWcZSw5g0Z+U12fmm0oiFNuEJz6LPpiTZsCaQn+9yzp+uSQrXUm5On
t7uq7GZ2iZJjEONimvSVbVdLA3Uom5xuUVPisvIaK2E1ezWbVi6qg7nAXFMW6lPi1foMmOFXgmEI
dNEtg4Q8/0KTEcK+f9Im9yBcGrsT6q2VPfU71cblC2hlHhc+BgIlFFvDt1q2B8OFkSirGIoYaKNX
is5VlhYI7pplXbnKijZhNu8VKIxNcdE47s0QtsE8tax2PqQWvMhIT+5jdu0Lv+heIzj+CHxukzbb
wqY8BIKiroX430KW08Pq1fLHZdsSCRAMw6okIyDWoGtaHY1b+v11Zp0qxctp3JMrYFd3Qznsexk4
ULepg4PKnTdkEehonYLBOtLE3ZtNwzJOaoFaayK+oD6Nb6m1e+xVSkYI3QSyzEV1kqjhVrfiCEYa
AQiMPb6Zb5EIXT4salISBDE3moxNoDjwFz5JCoOMVPAM+uENAxuA9WdN6LBQjgMDlTy800hkQMp5
b75FNOQ0b8lssFwd86TYIVQ61vawnWS4Q+UwRcnIexjIfSCi5ToJdVJIZSJEEuIVG/tjJ8MizMm9
mmR8RCKDJCoZKWHJcAlTahjtt8SJ9C194l31dPFnnYcuJ+AfR1MIFxww6haKfIkT+th3qUsAH6Mw
xFG7Smf32Pgvyjke9Ll4vL6sz5DVLPN5swkP1hqG4yZfBTvL32A6X7/9Hv+WswbV3S/K2cfsv2Yv
0pb055JWfvL3kpYYP2HTg4OQREPwg/9Y+2KbjBwBsiCmkUSK3wecODpkhp/6e4fu94rW/oLVgwk+
dHXMwrBj/klFa3yqaJlvCt3SyAukgKblTl/w003UjhaPsavgnk+jecIQLfSgXSc24iupUI+dcaNI
zXqEeB2+vZh3Us/eI2yn5soXCVL3SWreC6l+x7uSz3SpiC+lNj5EJI/365Ygp6+FWp6NuJsmqaYv
pK7eRGDvIbT3EdynUnnvN+ALpBbfQpRvI85HaVLPPUM9Canb711Um1VU3amD8zqYxLhHfXGV6tGN
o8lhSEzrv1WcaZmK8t5si3YRagXxUEq/ivwC1XKuECUV46xUqnUfK4jQPIacrFE7iLk9+AQvR+aN
mlRZeIP5tUg6ZTzRmHK7FfzLHvtqLu37ID3UAiO19PkLDP+5dP4XkgHQSRqALrkA5WgsO0kKoKq/
aCU7QGTJPJU0gVaNvjXgBegPEVMuiQNGc550N3qdO0yT4BHQ86LlP+ZXjmQVaEALIkkvGARiSZSX
FKJ5t7e9ut6VavaE6SOqiLoJcnXJVBDYv52a+qmM/ZiOoEN8xkhWVtAtY4dWJimkqgwCuM/M/Jb+
UH4spiE/kCswzhVHLDNHHA2/2GZJfl5r9Tplm5MIZzdY3j1taGZWsTHC4sNVnpnqVmMOhcK5HpHb
DvgrbKR9aoKBjN/nzvWbcNdJl3gh/eKudI7jOUmPSC+uGcsSHFXgcsbZtDffRM+N1D9DzECVWr3J
orXePZuwa6g1LmzVrqX7mnFnVahXPpNqT+qrJwC/JYJrBUl4iQDbipwtnqN13BG0IhXaHVLtxk2P
g8CYNOiAahFzmylXvsfJElktRp7ozkL17eQEcqECT6UcXKALH9CHF+jEK/TiFbrxsGHOLYXkGOgK
vCMU2hMq86EjOo1Jkb4aUKDbUorOJY8IkYleIjpBnZSrK6NvLQ0pYSf5jW4qjSm07WT+LD35omja
5Izh0GUqZfCjFMQbinkVtv1TptTLtL6uWk2bi1KcfJT0BS/orJh2+JhuVRH12MRx/aC9D8eIzhsd
7LCOv6ZSnq84NHekYN9AuR9ICT/Bg9Ji1D8KT8uXaopl0p7Oe3T/BBzf6fgA8lrBrDzQ8rOejELF
9yQdA35w7HEQlFV/CHAUJNJaoOrU+tJsEOIr8HAfRGlGhA29OmhtT500KBi9dxDSsmDgXUgS/hle
hl6aGvoq3bq4HDoJJZW2h2HAAOFIK0T85opAtzkyLpdeiUCVvgnF9h8inBSZFaFwkN4Kpd5gHHmo
8Vz0gq0GHozIcL82eDLS1gRVgEvD0Fri6Ax0+cX9KG0ceorHqzftg4vDw9VK4J3S9FFVxn2IC6QH
NZpIW0jumicDnwjOu5MujSPj1J1Z0koy4CnxMnqCoio2AW6T0I3vIj0++Gp948AFniWRetngT9GL
5CygsRWr7V2cmleVNLKkOFrMlEdNrc5CnC6DtLz4IwVHhAsm0ct9iSuGm2SXS5tMgF+m9tRVJw00
bdvdp3oJTB0xbofHJsdrQ2DOXqFRBr1B2Zq4cVRcOQ2JmSkunR5asJjiwyAa8oCnE5VRgzC9PDPw
9wwFt6wLDyLF+ePhAIqBnpultW1wBtVmsaMtv9WM4LbDOWThIMLPnNCJ9VadhXQYj1GM10iTpqMJ
95GnVwfILrtM2pJq/ElBHu9D/EoDviU0LrB7cLtqeanOI7xNZheuMrxOGO72Id6nf2uT71NFaoW/
q02q7LH69tPoA4NP/6hPsKBrhpwDSjTpWz3x+3QRD7rLYNE2VSjtxP9S1fxouVn8DUUIcXHEKNlA
2P5ouRlfiPVxXYcKhaIH2+k/KVDQLn6qclExU+fYqLDI4qH390mAJQZLYVdKnLoSU6Rb0hvtkmaz
taVfunuzTjdlU+HtGRUs1X4s7dVeX9bRDWbPiE6zNGBn0oudlQQ/qbR08Whj9sGu3X73bvtDOeHk
HpIu0nmCvru8DaBWJU0jaf9mPlbhBW/ejOFuQyxoZTEgn2WKoxIb7E/RdQqa44YcmUiH06ICttfg
fMKPioJVUUAMyZuk3sAqQvRhtc5tpoGInrFYd7dFKlwwT1YxjXMzI4FlrtTs3mL2TRdG3BWoccro
QbEK9sACAj8Il8Qj9UXz3RmCk/BsYisA09ibUn/uhrY3F7m+zXw1ndNMb1GAO+m5QzvtMqWRRGpj
rJtY4bJuA3/DIjundL/qTBomdksin3hbtfYwc9zQoucBs/kSHUs+zacmDTeEXk7Pqa7I5os51tl8
VHkJ6itYHRGZJ6bRYmR0O6NZWxUXBPbEoHQPmMI0jQkarSAzIl8gWzK/RJCGy72bOvoavTFNYsOW
n382FpW/dghJOtVVF31F11afhFM7ZBnbGsE5tRlcp31xLoy66C8QcLXORab4nbr0a5XMTN/L23Ib
6FrLSCXUo4c4qfVrQCYJ3Sq7ZS/ZZ2qYbFQjaxx6SoUXbUuqt2GXOqHZv9i967+wrXLWGP08jHxB
jnNFYEepFTJ6UwUdd+yG9X1gaEV1LMmI4RXVfFen/rurkoCjX69ci/DF/9mmig/+vmjZX1SXbYsE
BNKK11Bt/pBEsGihbJBCbgs9gqG/U40aX9jvyO3WH/utH3MC/Qs7NAPXPXhMCLD/cNGS6+mHrbk0
4utIyQ0GD0Jyoj7uqkKe+jrASneGbJ8JoQXdzm/mrW3FuzTk5tXnWjc5jNexy+rYLLNxumqRO/oI
sA5GGzmPcSBDo8s5xtSvkZNo2kWv1XDJo24sCPvuMnFM82ba+UabhFsMmfo1KTKKtdVqtVJmQtD7
ST3D28WjrdJpjeNIuwodkdCe96ekfhaZb/dnNO8q68R2bN3ZWfLiYRhc5FnYsk0xUY2uVcmEEG94
iKYcm62Z6OxEyGCO0TupY/t1Mp2WhIUyUPc6Gcb7qiwjMc9w4S+DgcSJqqyaZauO4d5qRvPgeVNB
jUNAwWNbZ4FAy+UhB3NMKtI4C9qLQLceUeJ/xRj3HNlUjwjeaaPa1kvRpC+2yEl96NLS/IZnHJMu
NsDS77fZpFqrJlZaiKa+Pet0lRC2Pm41Ui96RrzUo3eaQuSSiHvveaAXuKmNTN8GihcclFhHTKtV
qELLlt5PUZRrE7n+vOp4rNM4Y4LtMl1nyInGE3EuF7dY2A39yb72Fm6T7t1WQAn2KohIljVtYxN1
QKhjtTLpX9OXTWeVT+/IGN1ontdthl01XhSueHHNQFm73bRJNIpBiB7r0UMrqdRpjOywYg5rDvcm
sQSLuJ+6Ga/bda4J7HKkxDdB1Z/HxtAQq8GUXSTWsKjQ1i8jpdCPqh/HV0Q6G5eZbWcvkWpWu7QM
s7uoIyGC/iDhDl20/7fe+l5v0Xz79aq1qh6z57B+/tnKxYd/rFy6DlkOxwGuKcfW3gqnHyuXbnzR
WMzQrDPlRLn1buVyvghdgC8Vf3zqx8oFJ4joXssFyAHz9B/i6D6vWxaHZ1QK9lb+UMQwH9ctK1FV
N/Kq6Tg1d6XrQTD77b32l7Yo+RP+aFq+TVD5GSATiNKSk9xPKyPBaHYxFIZ2rEF4VyRXJQQwWWQw
bN5dAHY0ZD5l711wH7/Jn4/zqTlKTkdRVvjej1bRzbXq0Dvffn0A4Cm//iafOmc+oiLSXvkm+uDM
OvPGQVOCP0koQJG6JWq9ed09FIxCwosm92Za+EIp6PsXen5qsiuf3kNT7m3LX7qEm/gmY7Mreuak
UqR/cyrk2/CX55wb672rxmDggwpZngtjSZHIKOKu7dDRaOaxRxbtAVwNx1dHQbbHf7p2OP/1qZJO
jT/9ApgoLFtlgE4h/0khmLm+1jByGY+sOOSXaaJKDjEmI6QnhVkWcxGpGcQH191VQz2z2v5SQ2VL
nUbGeacqE2Pxkk170apYt31115MSWK2T9F5PjV3vqTWbSiXSbgYjjdZGLCIXmVEzy8iJruxqW9D3
wgq/0pqRZtC4DqZjZ5P77CNRLhXSYKZ1NYiLVL/A8rnywAPgLPDr69p3zwwCSirisToMaDrJ1OgP
5s6EkiQqFjGJIAXCKJvJ48SUNxw1Qpfbg6Omy77YjOV9HYG4IFig7LO91pgnmK8RgbkdfrOb1Epm
hTEZy1xcN6a9AGHL2x0tihX6Jk7B0l2oLlKZPE4eGnx8aTpVM2GRek34zve02r98KqW89N0VkjaX
Dw+++elx6UNRR81QT0d1bWy87XRo7ow1QINjPdMOzYb3+NJdiPm4MuY73iOrfDE8KNt41azVtX0W
rqKzv7llPvw+f3582Xq+v2XNJGmdVN6yebwljTnrFxW6hBUhN78+zs/uzPfL0acFzw3TKQloZh0V
kLLXw7dSxm7NUV+yi/r1kbSPp/j7V3r/EHzeyHI9KkOE+jGgmX4BXKNF7k0XqmYzNPeP/d99tZ+t
gBpVqHQ1srf/HM+Qopx1nMTQjz2Sjmx66pSLX3+jny2A7w/w6dzRMmYP6ev6kbmnVNr2KMmHv4ud
+buDfFplxSDsaWRSchTdfip3jX2NmOTX3+Nnr6T33+PT8jjyrq6IudOP8ODxY6GGtS9FhERj+P+z
pzsLn6u8zl+b/yt3i895MVahHzT/8/GP9fc/+y/54rF5/PAH0sDoi57al2q8fKnbhI9+Xwnkv/x/
/cvfdFrXJHz99/95/AbalXFNU4XPDa+Xzxouycf9dXl0aMP6v45PYV38rEDi4z8KJE18YVTGSFPo
qkuSM7f17wWS9sWAlEisplANKXd/34+iF0XJxF+4bAvlKO1HgWR+AYHGx94iD942hD9Ox8X3MoIz
+ZcL5ceHinUSgLDL//wve+e1HLmRbt1XOS8ARcIkzG15X/TuBsFms+GR8O7pz0LLTLdGv/5QxLnU
3Yw6yCqSqMzP7L22ZfD9GDj/6UNcofuqmYcFVxgJi9og0e//l36E3+7nsw/nONoyvhFgYgrF73Xg
j2dfpivhFek4XIAY7emJUGPAkKg2TjacBxNJKw6jsd5OXKZrWyvYO+mNK+8NSGWKbsSzz07leDUT
IL88t5XmlsusNe3ybNsa8VZWDeBsJQqdTVkNMVsVvSh2CfGLayAIYjswDNtWgF3WPXFQ2yq0ynWt
ei5Wm6l23tk3MfxDAoVgQLaKbOdICwBsB5WKtW2eYUS/z6sp/JYx29qYv2IUXHTQa2CCM17BS/l/
a73AM7MOvzMYsHaxQCjKobxtEH5WEVF/k6bLhTaEL2aho00IK9ZK0EcSeEhmV27ZDJ761tYXTqNd
2rB7kon5UHr1fQUcJ8i7J1ui73LtEtlXZJ3KCrKqVZ6AEO118jZgVrXRKhjsYw8R0hXIiLpAEZ7K
eFBQEk1qPLBdeC3iGEBT6sA2U+W1iux4B9381A7iS2gnI1IU/IKWD/bVTXX0yIrwNs9bj+zHFg1n
PXWdmW2aYUCXZvrTsRyLY+dr2yFLdo0WBdssldUKEP8ymFAS9dE5o2Nb+yZQsyAsttNU7X10GKEs
022MFmFFfOG+mqgnA1yKeT1UBJtl96pqjqGJcFUbhf0xdkkNiCzol4gHNkPBowqleW0xnWTelRPZ
5e+HokSFB0ZPJ0AP0IpLj+t2BFjG8l5ao0LRZEGvynOk3b6HG8G36DPH5lzanUaIOKgssse3KhWf
lt1+RRHobtnZZUfTI5tjESYyui1yN2OxYkUSCA8zf0fXDh5ziC2yuQ8kWfvJJl5cdx4bmuA09G00
FRU2KtDMpn6aMve2y/ONR1p1XPnrGeuR2X2yA5e1dfsGMZXJL17mzq4W3bM+IfErZDBbDN+Y+Z6V
AGUUVcOBruZm4pt2OishBEeTpWNh0N6NWv/UtGFPHvjJ9LWd5zwN/ptypwPMHncjSZitHPlYTjob
zuFLx5yjbdyGXWVyksZ4E/ixvjSNBNl04r2mgfFqsrlfVb1+8qw8WPbWtQx3xKCGy3BCqS2ncuOE
2oM71I9W0q2HgCJAhsGN1c3Y+Iho86yD6UbJg+wD0nenPxVa+IAI7VEryCLM+40TFN8MZziUnnYY
BoJwUV0fmLhsUzttFwj0V6bSWWi2VnNn9fGBn+8oY/FGsDx+GJNmCx5huDEASl8ya0h2g5YZr6p3
nZfaVQhAh3H0H7PGT+4G3yFRdUh1PBw+WOuoCVelNrOwSCQmOgBQW2loYtXzsUA5JqNLa02s6dOq
88EpF/b8CUPAgnTKIwTeLX33y2RjwQul/aTVhr3uavvik8q4xgHU4Ubxah5msnO7sU2PowuXKjDk
XSMIlsLtV66CrnBZu8dHKEn3WZEAQesVnuWiDjaJZ73YNmA8u1uVLR5oZ6jzgwuW7ewXLL+HCdVY
YqsvFnFECLjGkI8cq3ZLPoigQP4Wj2RPjMEpxspHUqd/C5nmSzt4yxjDjhsbJbo2cT/nWphm8Va3
CSP9eNfFzTen6q+ppHMIfFL3zD59NeJ2AzrtTaH7al00X5bOCMjvZ/p3nSOLZ0tc+3I1jhG+SWcd
l8ZXJKrDtgAiFOfda4e1RVoN3MCofasbTMQVf+ak3xi+86zn9ZNs82epKzR1Q3w/pOMp9/pdU7L8
1/r4OQjHfdTzER2Gc+dn2yCjxRSpfdc005XM+NchlBeF3dq1uuceDbPeIxdygHp2lsdhIYCIWGgB
7OQNNSDu5dje0p5g30kBijVutA/qgQGfSaxYLO17feKvVqeIFYLceSi76NCYdrOsI/HKTXAsfUp4
Lcpv4L01OxUHz5K8zAW7z51EusVxgxNjgMzHT5+Fzgkk5K5KgoOONdQr0EJjAC3c5GpKd8cGdVHX
RFZnRvKuudpK9tGuhVW4ILv4XTTJgd81BschXzBSOVjteFsXgrdpEdchtF0l7TeffWU3Mpxrunsf
wiTqmGlTY01aZFF4gx/+my8wRI4sLYUV01tO0dmTKTLh8iHLG/wKudqBTS93ZKuOEOdMbFsGlMDo
zfbVUVQmHmhDNUjyhL5QltXfIPRB6wnucZ241UsuwmCjCfcqsMjQ5pblsUYIyERvyDZ4wz6iVMtW
hMNpL31h87ywFFqPuCAWphWlX4nidlaGmYU22g7j3If1P8yPm+E1yHENtPYSVe5/JQiCONfRR/va
JY7BzT0l3hdL/iob+39WUn8q7P/rJeZK6wfmyshTbCctLyFKSHbOtS2uRMn9UGb+Vr39OAT6U2X/
22vYiJwk4FrsAz+/hgH9ALl9FFxFzy3vMNUCz/VAjvbfv8yMh/lhpvX9ZXAdGEwsbGPelP78MoGK
wdsmXXBtkTCUMYsiEHVa+dhaNzOi1K6h9MlfkTX/7ofMv0WKkPrxP+f35vOvmogfqSLGvB8iaJMA
zBmtzj/90USw6jHwrEmSoCDN/NhEOL+wuDYcl+mnoNL/EazuzKNZBlc8R/8nU1bPQN4nDdSbjvHn
lTaGhLbMbOSjQt1UBCmPgBr+0ROJT4UmBEq05CecESl/amlxvSVm67TttbZiDvYnTVw9qIvWTvd5
JBF2rf/+9Yw/bbzm6cbPrzh/Rn74OBuIoiJOqRa0GelG7vdQhvF7QIOasxr6SrmHrsEYYs9JDrWN
WwEbaukPvgS50HAHzskPBEwYe9tE5DKWsID1mggT0w1PUuHEdY1kWVQCxkTyzRu0lzmfTemE7zoK
6EQcVDOyAiuiaYRIxDhBYVZEAUhZe1sTwb3BgmNuApqkrY8YeBmBH1g4FYUZ2yOYfkbEusRdFm10
53bd0ZMmXpqoO2mlz18pjogTRoJf9s3KGs0FzN5bHwI1VYG5U0q/6WASoKXY5wLxXhIHRwUWBHvG
Y4VHksCVt24ybwYn3HXOVK/1pt5GDdbSwj2EkRwWoa16UJJVvfXD8Uwq1XTvoEgm/0SyZr9X2A13
NqPSGIDoroTK3NxO32enbVYN6poyEmxoJwl2mpAJ1FxS9Hwl0hz3ZLPnAyp7Qmu3HxJ2fp4PJza5
jJP9rKf4BOYVNtxIc1MRc07S2dcUh+y6l9Z5KKyDb5irLilOjd+jAR/3oxndCOgvuc89O4ynfhxO
rVsRGjJlYhnI/lh34pm8cxoO9JRZPj3KlLGmn43JJWrzmzxptngRLsmUHARRaYuhsKH3NviQy8HN
WW4mMB5AMmEreWSzidpOE8HGyIp237Z9gwHQwFQeleMpHRXZza5xTLOvntZfrdC9q1sIpTrbV5Cz
1UaHzumn0U2ba/d9BxEDodRCzR7ByEMC1Xx1QrZ6uh3fGhBEvTZrQXHokH/ngex427SK45wVgo3/
oa+6DWaUFdYCmChipZRC+G3dZH5ZLvsBSV6TJt3dMIZ3BCLsAfCs3MKdlebLwZEVtFGN0R9y+hzZ
KfkHuBuRL04Mm2Hg0SJ1nwJpfA6Xt7R0KJCOB8t5TuAyIxr9fqH7wU0YdWdLxrtSZttByHXq5Mt2
8I91rahtUFxNzYzZvXDDrwykYHxsgToEDUpTUVM++JvSM5+sqgYmBJaunFXwhIiPu6SX6b5Kc1CV
QcumUjsk9fSAxCKEjtVcokrdxx0+7ZgbDbMZjjPXePfa+B1i9VmVKdFgMTxJpHMjTuU+Yx3aubvv
x8y/l57FDOhv52dz1FX6Xr3/9+ht/tLfZ2dEBDA001FeSVQHNJs/XXuoyS00CRJJgjELtn7Xcjm/
oP6y5x0iBkqQWZQvv8/ObGZnTNpgVvKcMCN1/4mWCzDXT4XSPD2bFeIC5oQkVsua38SPl4SjB3qa
VlKR7F1BjZkVw+DTR2SfebYwhkDf9wQRpQiM8yxHicWs5TVDfExbvHHRLipEyQ7inlhq10nDfm2R
sJgSrHZKZyUzH62nEWmz6xXAT2r6aVdr1h3y51+pvM0Ew3xWRavYuR0CE5EvZpFCrCG9Aip1JdMw
nSC5iQ8Zekmy5UI/TJeJ5FDKRQM/nAi6Ka6KhR7AXCX2YPIVHbUgr66dk+s0IuyGER/hOGICB5gi
V+GcdNd14rGbo+/gC/UGWXiNZyVL+3s+HkF5sPjDZTFn55Vzih6ua5xR35P18vjDizx3Pc6pey0Z
X3D9GJvklr9P52w+koPXKtfEVigzPUqp9SdSA5CVE164tKr4EekBrVdK9hRX2FVh9p7j/hb9hDjU
bh8YtWGNT8rHeaRZlIi0ESifrAHIkFn6LfL8vF3lWlrQKIty6VX8TpOyPRdFTB73qNLN1GlbJCQH
EIpPWdwxOJ83ij27rKnXd46JJXJMoq+dbp6DfLpMRtYtIcGaOK6rl3Q2AbWqZUZXnNrQxeYD8Q0N
X7vUJnQNas6CrBUtWNHE+GsMex839m3ijyF9dt2vjClYl1bmbnpNfZQGJDJD1BfDhDtRalslshOZ
ZVfKkqNp0uZmVn0sO54Zv61vyshuFoSV6UvBwGFt0f7VTG1qQiHL0jw7MmS95SltSVyWQh+Sr5JC
21axxu5G1ecJTc9CVoxMWte+o5U6M7SdYendgLjccpYGbuGFqaZokVoNS55EQGXsmWOxWRw8YJZd
nJ8Dy38by27cpJq7DRgtr2QjnqwS0Y9ZOoA149VYNvbKjYLbgMGSPmSrKRguZe19rQhFZ5ZX8zus
7X1Q4kmabHlq2voaqbrUbpVy0ulzHNJk52QZ2pfiCUAGNmFMdDVm3XOPNeDQu8MXlYi7RlakZ40o
dnKAC8GGegyZeU+yqbaphHFUaXiJlDoMcX3JSRDucmZBRGi13Mdtv7d9+Y15Xksl1pvWNmp9B3lT
3k33hj2dg5LKRsd8vAnmaqc37UNM+VOkODHmemikMOopkCr5Ws/1UtZ6jzk3dUohVRkVxVcj9z0l
VlBMN7jSdn4XEcMo21sOO1B3kPgNCcQqIm/Rp2AzyUJA78r0l4GdoqRzdGfpj8H9BGsN8ABVXzjX
f0aFU9vKnBwzq04BNNeJJgVjOleO5VxDGnM1qea6Umt5cogCQfY5V50Z5adLGepY+TdFWZrN9alF
oTqh4ZJ6MqMZqGHlXM2KOeCM8Lcv7hx55pF9BlKZY0KIG6y8fBjmgDRQB5/mHJkmyE5r5xC1zB7u
4LsUe5N8NaY9IL7Ey0juGki7jTcHsWVzJJtrEc6GVeE5n+PaEnLbCnfcduS4iaK68ch1E/g1nDno
bSDxLZ6j3yI72ak5DA7N2KPb+iteuVuanvWgC4LjwjlCbioJkyvmWLmWIYs3B805JM5RkO6GOYIu
n8PoHIDKxhxPF81BdZLEOn5WhkQJ0SYeiSvhHGvXzAF3UGPXKEm/Bd5HVDh3dWPeJXMgnsFHEGp0
SvXk3mSNsRFzeJ7fEaNXzIF63Ryt13fxNiyZGkVz7N5I/l7Et3PnQD4pg0NKQl+I/B6BJ6F91hzf
xx+UID9juBty5P1ZEa7I6dNXhDXsYEszY2Ycsx/IEfE19JzmMUROiBjWecNsEhFBA6x6IEkwwC+q
heW9QcQgq8hqGYR2ux7m/EGPIMLEwKmt1eYW5RXS2bI8B3NqoWEU9y0xhtacZ6iZ5bYl4FAmxYWB
ZboviD4MmuFOjGpNAs7IzMc5KkISNV3rH8JpbDc9AYqJ1w6L2nFuGYrh559tNf/WU9/lWhaTnr+p
p8L3uvmrUoqv+qGUMjHaQf5Edg7nmtHSHxME8xcx066IWgO57P6gMLX0XwBuUdrM2aGMEubhwm+l
FDwuzDKm7REt8hu/4k9rx79bQ8r/FmyA+uVNEF8q0XWyLP25lDLmFy9SUtYFVlNSdluEGlb/xF4s
2Daldi1Celoe5HOSGgMmaHdXjkBfXJLAVlANPzkTmWl6DzQnGOF1xCaj6WHYJatHuebOTduN3fhr
+DO7nksrI4qABX+2Mk39tZYNcCgaA5MhcD3wGXfiM8D5TycO171nrhst4NrXi3M5WB/YCxisA8Mz
awVAMcraXVxUu8rz4AaQHGXIzUTagGbihtdlB5hfPToMKXojbNliWRF6HeM9RSvGTvYlhKK/cXy/
ZV+YjdtKT4MlcuAQ+k19kAMrR9cvjo3BOseM10kY3/tdUyzxFfXrrhhuc1x7i9otNr2dCeJhwIyZ
DsnQk9tPK6zH+YLwyatnpl9hTBXbEfPxIgo4zLXRf6hSRQZjO6xE3mskPcbnxCK0IULbCaKpSJcQ
W5EHDaAsnNFdQ5A6hLJhadenj1yvGgLMnANI3YYgQRa56x1wAZBmIZuzlxsPJXcpRfEtkwlt3c67
FMaXWzG533Rt3u0Z+S3pztkCFMprHOt3Y13gK/cVMcTAF0mdMh+mLHpNiBjpU24VLElM2SPSejBc
xaX4NsdC7eJpwJQUteMapBhmAt8kpit8DmPefwClAzsDan8b7H9rs10pctPCftZ+qjjZa3W66gPo
ElFNynKjU4FGvI5AtTX6Xk7cLMnlY3Y3VNawVG5Be2uSAhAAvSrzhvSU0cOPCGtnCZTR41ROrG2m
2qtSLusMn797TTGoD+VCZMWr3kYn3NSnKiLKQQt0dpQ2V5dlgJHyasK7Ms0klLkptr6pLqiJiUWR
zj7VagR1dXQRsXolfj3alCnrR3KYVgP0SrvnjfYdhkI97XalLm4Mo14Wsp9FwAiYg3ZPQMBjq3Vb
VefYl9QGrylBVVlUL4O680Ah9tQQaUiTIboXNiSfdWcstXjY9lExssAp00VuKwD8/FSjc6MYGi0T
r7t3k3TTEIczXZru7OPxH4W3D4b8qsv8xuj8HWukq9ayROxGvIpzFksL0J0ZxESpS8tkk1/AAxr5
S1sDn1cyvFE53zTPZLEEnZNRpzM+yET3LUyGZDVkprM25h7eTOovQ8zCQLnfnHho90orgQK3nrfV
c7kPdXYvEx48ri4GPAs394Yty0OyhAfTXwI16zee5lIhsaoMhrA5KD+JN1lnfW0Bj2/aMPmqzO4F
H80HXtp4rWpsa4HZ34wtrQLC5m45NtAJOI46c8n6ilQLgiaaI2fPDMwruNmHsjRAXjV7mTP22Jjs
EOVjJxLX3YZWxdLWGgs+S2UOwcrB579222DQ126uWcOi7BDk7yxXJw+xMuUUXXANju29J0jauu+9
SjOP7dCqYy/xpr7A6jO6a9IUOxVQfxQx8yZlJRbkBGJJSvhcehXc1RiEQWoMB8vK202lVcPW1eyj
JDp8RYNrQfOyP6BD1IyvbBx0sfWSaLD/QlLNF7qY7IOpeJiT3EVXiRWcilW9Fb71jmUX4oCLPNCc
ym+NF1J7YeClYO5ZBQt4cVVTDcsxGc5jUa+GyIs3tB9nK69uNb89Zq56owLG/mgu+2GMcdohXQgK
Sd6aORzY/0kBuddziveIJBp7NnU3Bvgu2nyidpv+Xhjxxa+9kxaPr2lofJt0wXcJ5Leky54wyKy0
6WCMA2xTyU4+qO6SuUkXIcDjgZigYxo6Z5Gk5IAO6r0Ppn2ImZAwocFeltj9FjyMF9uZkcrSIyZa
024ZXRirnjg3xobteRIjM9bBX/JbKHZOTtdRs7LfmlbH2W4V7PEjh4AZ9nQsoh6aZDXJ4NmosB+4
VuyvQo3Aazfxel68ahcznNacPH05Dam7MvuI/bvLYDQbin4NQuNUuI2xQOIQLALduUZ9fqbWy5YD
hCAPGUSd1bugbd5trx/X8PruR+QmxPvCL/M9LhD8po9+C3uw7fNn5hCHWEt4j+300pZeSKSSbfEM
gF/CgKItK9V81p73yAG9EQVi1yxsFkZg7sxYPbIf3WoRVJMuEPuyN286t7jzpPoScdEtcJNcLIHK
QPK5gx/tb/1Jr5ZSVMTYdVwJTR8sMPLHaCySvSfHWboCbco1ym0to34ZWfU1idobKpFNbjRPXabv
igSqj9UaPICtNawTkXVEUbklPSFJObD5wqVDl7uyk25Lvo++tel69g2/0CU+lqso6pj9WXNoc8rY
0qZrqIfHFJ8zUhcuQY6sjRZNwVbrdYKIPHs59uCyiRJNj4Fu3Ng6uCetxrjS5CKDrgFWroPihiKh
9Im8M/eWFd2EbcyiQrEZzRm4cMhxwMl+N2UGHwnp3hj4MYiZgTptq+EDbfAz+R3XOnc+Jsv8GGyx
IbbwRSXBC3g7e9WY0d7Piheh3J1pVfc9Y2Iz1lBsjMlSpPBIqv59hgS1jvHpJVhp2uh20kkA8Bpx
n1vzIa5JaMaEJ/5bdv9adrPE/ZuyO/qs/nKCyVf9UXaLXxDWUXnPRAp2zww3/yi79V/4KxsOFSYO
4+/Dzd8nmN4v2FBdkGwS2wKByHzD3yeYJAUQiIEdleUOC1pGjv+g7Da+2xP+s+plgmk5hsNSjSkq
CQN4JH4uuyczzEJDReJqumCZ/WxCgqe/qeArScSTZPRV2fmJkDby/nrPOPUF/72COW/r+bUtC5JC
g7u0RdNRT6iptGFbJ+FLXskt+cp3Zu6eYVc19Hyvum3hFB0IAnaSYyOR4tBXdpwhLbT4/AHBPLAL
T6TLkny1FSlNr+QBc9YaRwloEZrX+0R8ph5PL4alIQAcGkpRmuIhdoBwRbuaFeQizqcX+Eq7PkwI
9kuaeT/1ioH/cXLVyYuhaHCKLxJpfNM49cqqfUqgUSysVm4qT9tMznQTedSY/GTbwiNrjdKKUVVj
E87Kjef4/b6JmMFoHFIBIFWnZJRUd3DfM/ep7GlMZjDBfmoTfUGW4TEWKUqNXtuBELdwTFQ+FlVE
ZtawN/SOlAH7ri/aO1hv1WMqx/e0YLZgl+4hCMWzAErnzgbQQgxnUtbkog8cbS3jfNd0Wrwc2vZo
WfUeDxmSJF8eRv0r+ra3wG8fR2a/0LXAP9IHvCUC6HvKDJDIqU/TYfuDvuDxux24F+CcNLYoTR3A
ieo7ey2GcRfX49Z1+3XRRae25ncWBKmFOCOIbeIHEUJWl2aAgbT2nVhtG8kMDJ1XNKJFK0SzVy6z
5MYBKKUbDfKkUomKuu07vbeuqZTf067smX1Ko+GMFrB+h+/c38xQ1WpMYckFDEe4NiH/tyVBE2CD
85kfzETaWJkWlFgEKfyvHr3WVH/YM3fYS8pveDZsSnemjDOb2JkpxYFM7pypIBPBdC5aaABvIqkW
7DO1pha+pIP1mrtQj7uhuy9mDrI3E5EBBnyNQSRTMnxODTugDnhyYANEBup4FjNXOUEvW82kZZj7
5hqHHdkSM4XZS3ZWWL26iWw2MC9Swnfc17FhmFNY6CghcH5lxTdDafqBJ4e+IZ+pz2LmP6eBdgle
026VA4YmHOyrBStawow2GOXKZDraeb6NVXHbmfSm1MSPhYUF24Y7jeAQgiob1kDYz/5sgZT8F1fv
n4OpvI1gV4+WVsP4e82lrCGzaOqIw3yKVnwrQI9OstLYwy5sm5JcC+tlWg3AGXr+4kgq79pRBfsk
DGc032WqisOQF98IdIcsYXU0s+WYVB//3iu/3iuIh/7uXiFHcVTtX+zG+Lo/bhYdILqNFksCNED9
gSTij5vFJDOGtdRvt8csZv/tZrHQkQiPOQ9zAJfk63nZ9p+Bjjfv0dCC48tj2+b8k5tF/x439PPN
Ao+aKwzGgWXzVv400NFZSbRJZauboRIUbh0YQauwSPa1+l3oUOF244jvU/TcPaYUR5FmDCtsEiTJ
JRbqJcr8+oyknImhaZb3MQXpTg5tfekTv/haNMgAnZTjKUwd+CPMRslSYWVussnWhpu6ypprGcfW
qybsZqP7hnSXVGjkceZ+fkmCwoN8Ht6xTADgpiPkNYKw307Ymx8bd5R8BB1KLEO256YOnX3S5rjm
nVZLNroc1ZPZCvbxZm18KtmmL1Kk+S6QNR/lwq/fO7IH1qFwo7VTef3WiXtyPsOuuO0J90uhybA1
CIpVB30GRo0GUu+DxNrQOuqEuI3DBslsu0UA3GqfVuDF4QUyCjTH0q/z6uqEjCGcQB/C+zD26B76
tgasTnHr9BcXGDji7sAirwJ8NTpYfEBdATpV0p1GR1vLGcPghx6/xPA9oTvBevKQrbzafWq+g5yQ
Cpk69E3GwlwprT3eN72a3ucNKJtGIv8AenOvRAHUcL/ogi88SdESNOD07tfh9GlHw0ullZs8iA6a
w9Q90+mVewlWRiv6AM6c3o7bBDkspXQznhI1FCyJPFizQ6aQWkd9EG3qrAHDyG6LgU1SPltOlO5T
T380Kfx3hYbELhR9t5Bu1QCPr+17NyyALGqN9wiYy75g1RYrbhNPMI6X6sGvRcZUI/W+aE6vHcwU
VEIxZFfs4Nqqarph22laPaz7tCybFYnQBf5BVe8BrubA7t2a/nOy3wLq6dXkOfHjwLjg5MRWfK4Z
PLzqvqOW/TTrYJNJvU7toB15eIHbOnl/RcvjvxAD1j/mcUUsrhrQ5hBveRN2pHDkgEnSVW5ZXY0U
lNzYDpoE3MNB1qugovMAMSvtndFR1tvsoFKQQkNv3o52BSlTKFv/LFQxbcpZEeHRMyyaHgrXv2fx
97MYNMLfnMWv7Ze/GKzPX/PDOcyRyhGH1flXScF/zmF4eKRigtaA84wFmiPwPxW+ze4J2gyOhT/x
ZtxfsOTQMfBP3+Ms/pFGAS8RFfxP57BDXUN1bTk4irgvZk3pD0K2tKkawVZIXJtYvTDTJKkgMbWj
obXoEVy9uJWqZ92fW95lSPx6o1gqLZvaOlRKMlfMGfdElidPVTW1TGqTGTNmb7u+vU/doTjPa7EI
YCZZuKsamv3ayPodBOk5Q77feyS2EGEvVohwtu1sQ829MVs6vfXYk/NiRWH+UAYB4blF8QGohNVm
8VjpVsEOk6mdTV5MOgfHqDlChoSD3TCHygSTCvNbnFNbIrasG820jz5T0HXTC3+Z9ZpPUlHV4nMp
b0a/eXfa4MPPXMTmYw5UBd7EnnEgtmGl3bGiS2+8BoVVZqMzSM0K3itIrZUf2daSuFrOPJ+wisHC
mOKZX+vIvsW8cnEbEhuKMHmJDPOhUV6x0mLjs0jkgCM5eKxIrI7Ket8y1mSxqu/80vsqRJJTSoW7
xGNuLzg5EN9neXCMJ+9Bj5kYytnzURnioXBiIsn4IzRh0SwBxMOFaABJtPUARLZ+4cxHSFCwIS8l
M1BL3Lippa9CP7qNPARNWta7/WEcEb6PlGmCck1QtrlTdOzmOs6M6zvGstVikIIrucrqJSGYi9hO
tYVTpCtn4jhGRselk3sGO0sP2k+ycxV0tyiv3atnFOM2RcK46GwsSHnpsSesPo2yEwvyDoJbrUX0
NkXyw2P4dClH41uq5GjTTyqxYrPpXdKwgkmfV2SDJ9hcGpklmzwlFStI1DVEPcJQw70ihGA5Y3OO
B6P6xnzdZDSoDm1lXDj00Iqhg4CHQRSv3qIp0aW2jYcOpLXevtlF+ETYebusWm8JVjBfTQaSkxqm
EQz9WC1gXj85dC26r75kgb9tddM6WLl2q7vFN4v4xDYkfBsR3zJP7GopmgpOE0FdhZ0dhkaurcC8
jnpyBRM08yqYXgsVP4vef5QZHDfi6Qhh1JzHqgkkb9s4+YVRY1lqsZqUGTw9Ie6ysTkIUtrLJL6L
omBtt+lrL6ov0qsUGjrWW2PdXdwqaVcIJEieE/lZuvxypaUdyDOwtraYRTbemNA0OCdR6h+uMZmr
uhmfC9Og0NILJkkTtMeGjIhx6PaJPwlmceLSp/2XkN81wQqFv8xtMq2VUbyYeXH2AOHartrEVDkL
1/A/GoFdp6LL1tK+RACo1DKJ2+MwJuVy9IjRy0f5tZn54iWNcObGp9KvjGVUZMkyMYwtlJE3NyYQ
gX5cT6YnXatveX/4gthKe713rubFNm94FUxdv/LAdbvgpWE2iLvaM9/GxiuuFDYpSldtOGjJqO1V
1oOKpArskvLeolwKi+TOtXOJ/AgZDfwmv977Dt9lqkK5yxxrXfllu4pNLd1nmXEbCwNbHRXsstTr
iUA8J4FqyUM8gnNki+9cAQJDcO5xwqGdShZDMNwSMQLqXooPto+/pZL+KwmcNdt/0/M07zS5KZCc
v+h6+Mo/blvxywwTIUDzj3vzj66Hhmi+ZC3W0jPx6Ifbdk5NcKQBDYnVp/39n36fpyGEN9k8z/YQ
4p8N9uL/YJ72azbUT7ctikBkia6LWh+hvuCt/3jbYuAxk2pI1bVl8zidwa/J+KJbguyxhriEG9g5
XbPEJXmRRXmDROzDou9YV0b20OnI5ODGnkqjekUIfEjr/C7KolWjGdgXY0I0pTzDbeaT5vTbwCSn
vqqTE4Xw8xTnn15EkqTqjJoAJ1vdymDa6BlC8hC6Q4uTi4hEdLBpE5/pKxYDG/9VZXa5/gXUxALi
Z5ASPEOCwJ4Eiio64ANsgm1CLs+0EJ1nI1kqzBhvoMainpzKYu+QfLItHULsUneyHky/QSfjZ33c
rjyPbuZUxVH9Gvc+O+LOzIxN13bxBIw/PjoEEkHn9WTNMqOS2sqr3SreAXHvpvWsBWX/7FPcOn5s
vjIm+dKCnVr0af7sFCC/G1o1twOzW0T2e+EDmnL6ks+lm/Zs2dQ58hH3GfjMuKKjdTn55Dmxxld+
92gI/0mrpn3jaHcd+5K86/fWmK/IDvxf9s6jqZFsTcN/pWP2SaQ3i5mIkUeAoICymwwV0Om9z18/
zxHQRYGqbvcVC03EzV50d1GkUieP+cxrzvvOgJZvArPMzWkZqzSkg21OmQTxBonds7loLFTZLQn7
bh8HgNJRrttGOjUVBDxdggJBZtRKJNW6FUqfeB0kKzjL556TbhK13zRZ+V0eqmvHj1dqaH6khQp5
0Fq5indpIjo7KeL8Js6pW6XBLM7lZWdU12VN+6enWGbqnxNB3HXsrWNX6zjsmqmdYDsfOn+m6J7q
sbnRumZORxQY/jhVAPW5QXXlRPVXPAfp7dizXFJQxPU3WIZd2mAfMXzcpNAoql79PHbZRauGEx3B
U94nLURapL6/CV2UczUHY09j0dT1OjTCJQD3b6oRLqiNXuRa/d3L7JCCXzDxLCAYpYIBqrK0zR5z
zQrvPUfeNKoP8i/clCZSvgNWoqP00fC105iq1yRushn869NKESL49sRxiwdHrzii4s9gMD5mso/0
qLRwc+McRv1CbRKa4S3940E573S4rDzE1EkVmGzKOWaea5Am09Kvzz0L8fWgP+t6/zSrEAWFkftQ
Wup16/TX5RA5E9drjQ+g2ZeB2fkb09WRvFIxbI7l8BT9fXRaAjVDGU/UKyZGX1zKYBI7hSnVCKMt
AVcsBHAxB8E4gGSkmIl9ooZ7gfehF1DHnmpiC+d6poGCrMOB6QcsMs/dJe4hw0LS3G+0wi86AaG0
k+YWRS/09zUcNwTMUhWAS2UHvRQgTMmni5q3UjpXfeXC1fVrXUA2oUMAHBAwTnLHqxBcZ6UjYS2A
ngSpEoAuK1xgTHBRgwYFMzk1QIfKgBPmzA7elqoi6CwwpJA1pimoUlXAS/2hgoiAeKobnWvgTxUw
J4lZbHIBTO2K5A7OOy9jlEDmA14NBYyVYvkHI7ZPcaLUZlDoYaMI0Ksr4K8SFfVMAGJV3wBWCUY2
CWD5RqBmSdW/1AJGOwhArZSMG2Kxix6krSkgt5INQjIny+gDrIHTsL02weciDbCW0IC3pSZexAS6
oDe6C7YPqrUC3gtxGy0eAflVBfgXMEOxCJvhPBPAYFMLLqOo+NiajTlFb+zWMw3muxLQJaunLfRM
V8CMfQE41kAeOwKC7Agwsi5gyRjZxWe+gZ/Bf/LsxzybxPTX5//tg7/dZ6Zk8Ft/nf1CLgP4Gth+
zvmdjsRfZ7+AsJkcvBanr6WJNtdzxVM+IVbgPOZM5pg3tB8VT402G0oalqiIkiTr1En/wdlvKIIW
+dPZDz/PEL050Gs2TL1XFU+8sDU55jEuW8ePKmJMpOANeRWmqbRuYg+OlD5ODdHzdtvmtO8GZZIl
qjlXWmddG5E5zWkVLrxwuLWlDIRliBtrqgTxJDOTedjkd57aK2Cia/gxS4TpG2mmSc2nis36ekjC
bmmWpnvu6wOo8t6amYWKIarVlhdo5TcTw1N95LyV7zU+jTIWsKu8SzelGqJLj9FahK0inSil/0Dj
3PxQ0D8At96h2RSnKFNTF53EDs1yr3HQN3Vyh4Q5mdt9hBZ9I62U0HLnofDns5vgXknVvplVwqO4
ZrGuTGGrCNIZVXAtwqvFTZVLVyUB65uUP0NZe2UpsTLJ+fhRuMOVqMHyKQFy5MI7rtREax87Oaxg
Cch9eg/qqi7ZzrFS2tYxDnSm8KLL6tagER9eZ0YlgqCzVpJxTDFxMQ+SYliOYnmX2NvZDQiBcud4
Z0sfcyzwHKzwwBjap0YxXpVdNMzAPn4Gs36XYZ9XwPuflBjqIaZyhVLurdfitNeRfLRY75VY8MlY
8RHNVDP0JM0pLosWYPDsS9jFaxMDvz7EyW/A0q8X3n5N7SwCzP6M1HnIhfufooO6DYUjIHFRNiGt
A2ovLAODoOMgEDaCKn6CNr6CwO6TSSesBuOUaoMk7AcTYUQ4VtVns62+cuxOM3ys55EXoMjrBXAx
8DHM6EstEhncd2+b3qzC7TDj1cc7/FLQoqmJVC+8MLhyU09vrnIBeJIF9InCz52e119aMFG4ZusL
V1PucwGXQsekXqeuSlAIlAqufLswBbxqLCoMJpmuSzJcfKp3OKxAQLJyXTuVBEjLs7Fn0OyMhQCC
awDJpYPo0gS0y3E7a66EVTRrTDxKU7APlSyqRjamwbmAhwU4Kpq+C+EN1CXwHNaI26PU3wpgmavg
5C6gZh2YM68FfObb/aUGGk0FlYZBzqUZ2acSaLVGJQecud2Fwz0rvb7JBbDNBOEWJeZny0kugR7i
aq6Fw8wFDRchWC8LdFxaf7EEXC7raxLyMHfmleWU0wy94Ukdpossyi8gay8rKflYgb+LCu+8xr1o
pYDMC5DaUEHqYUVOS1mA98q+v0xilahFjr/6AP0MkxK/KXfWaVhY56qTbAJAgbFAB0IDUuGRRCN9
OrCDng+KEChhcNoALFQBGIIM/xoLxKEtsIcmIEQcdT83ZXWpCnSiH2XOrBeIRcPH5LsUKEZf4Bml
pl56xH7YF4wYFAF67Ez38yhQkEUOGhdfALYefg+IST/B2gKHjOjUHcuHQiAqMZgRdB91JQu0pS9w
lw7DOm2BYqpAMusOUTlNoDTbsNJnUVuaqwgIpwGUUwfSGfg+xEmB8oyBe8rAPkdTu3UBX05LgQjF
alei86xcI2ZEtR2gmaelH1SBI8VmiEZksySkHIBl2i728e2HEvCpCwi19SvatQKVCjU1EDhV10o+
xABXeyuQ1j5Q1kBgWuW6X5uAXFsPH1iYXMY0LOJ4aqZdNI8FKnaU/QskS6QJthr9TCrjP73RvUWC
m6BFEWKoAl/b++F9mdNSymhmyQKDCwBDpbICLrejnLiqgepaAkw0FuOHQaB4JYHnjRzvpocW2Qig
L4Bfx0nahZ6Xa2jdPqeA7wGMAB+sdSaFTROWKPTTLwl9V/QDt0XVB8te4IttgMZmk3xUAR6P2D+I
js1cb/VFCTS5zeyzAKhyiO31amQS0bEgrwMashws5W4E4Gx47Nk9uZJJe7lQygfwqhc1kOgR6KQl
MNLVgJ4coOkM4R2kbaiIEK+6kbyygFfLHpbELZMAJRd27hzCMeg1bPlihFisW7jIF1R7HqKajTLQ
zGzexkLthkZgDbSb+JKKZOVclg7YKxX4d8y8RYqILNYSsKVWpTyJpRrEUEyrcKpdyoO35ews51ng
N1joQkBAasu8tG34RzSz1GVZlV+CSLkxsIidZhidKlb9FWNMd1KyL0wqsN04jOcKO4gCcNv+DtSj
X5ZOueD5vpchikupnd1XLmm0Eyp05n2NpCkKjZlLCs+Zh+4QP+ty/6x2MOgCHIFFlJTNnaS5d80o
Zxct7jU/vQxDB/sXyYU/guqukmNJpnuDv3AyEkGvJ111w4Z6WM0O5trGxkc1h0QhAMMdZIus8VYD
upFzi30SnV/g6+nNkI0+glXht8jK7wxaRQB6kiUKmEviCN6B294oRq7A+cIabpSs07z2OYpT6HqA
QSwYgIi0m5JSXcIPnHlD8mckRxl5ZXfZW5TrK8k7l7UAE6Y6/9OWUpCPuvO1Q450LhUJbJLURNoZ
JZUcbQ8ZyZIPJUYV7OaV417oGA36AeHyNKbScYqYiVNssjjOMK8rAxnASUg5ZAS55xT+owLkf+po
hvbbOLrJ4iZJH95W0cTvPUfSaNIJLggq1KoCBE3QOv6KpOUTGBjQZimkmVgi/MAOaPYJiuLgwBR1
F0cLAdkfVTRTUwRtAzGJHYrgn0TSpsGdXkTSQnxBl2X6YooKGAG5R2L2l1U0pTXKRMqS5HI0/LVG
zKu3WFz3EQV8yvb4dABOxYz9Qs/jaIEQ+kpulGWQ15c+1ZgUjqHTqTAjJLoDyrqr8m3U6F/dCupr
Wl/0o0JFRl+NvsAySdkw9S3vK4oKH4BwRnMzSbYOycaU+j9nRdzk01Hp4rNkgBgWRz77UVIDmdX8
s6bJ7PMUGz/bFx6Uotk84uZZOtF3E6Sl5iqEGxgSlWS7wMm+dEor8O3sTgY1aLUBaRYpmJPAS7g3
swzaC/HUdPQtcxq0kXIKFva8rq1TzU1uNXBI2CVeVLojbPduCW4ylKu8ZWY2qO6K6n5rXhqZtY5r
9NEc3/ioIQyDTcO3zjcXVYs4e6mgONc59hUoIRJ7CMZdtAm7cEFZyJ02KA+BXeWYVUrpsyPou9mY
z2QjPPdLvOgFhIoYsj6FXg80PBoVNKGcZCGFzrfeSq6MtjnXIYNs8uIDeK1Fgo0px8qlZWA7qvXk
FngMhuhOaPjcaQrs41j60uruZ87GhdnQE3GwHVppcfI9GEAFUmecJUDpJkofboaWocPr6oPcuzjl
RWbyqdBPzaFCFre2PeqjhdVuPNleuPiXThLD7KZD0974gAf572ARYMQ4q4v0U8NjuMWIPHsg9RO9
y5ZGQA+stBVqEwN0Wt5DGEoWTt52PMsGm17AoF0HNkj7zr3XixxDW9O81TPzWiIXnWI2fe4kKNg1
hoUyWk7ESJhxLeHbasAJResDsHBfhLfoIt+BspylbgIDLroP0/KT52DLaKpGBxMjMle5q3Tgz1z0
frPemxI6LDQdqmFg4XSbBRFiBg34g2RljNFS1ttVpOInnTY9GG8oLRSI85luYkorW/mXDGt6RwGt
jR4srt5xFUyJzcCd9QrKCVXZU1axyCf7AYtOxckvYAN+LMbo2s0be0rNmtg2wEwXaqeN+gZpYFyi
BoXYBEFmhP1m9SUwrXM0W67TNgumVuAkU0kZx2WS4maUuiUFxCFlZmrqtzwtbuyWF2903myg7Cg3
7r3bSspMa41rJ7evm85ddRoppuK6p1Yk4Y7OpJ9ATVv0Iz5jJUkVeNGomuRdiVRaUVIoGoctvHdM
0jmoYM7z27VUrsFHzuSIzHqgSquIEhZ2dcsAsvZ8iK4pdyvYmgIzH7d0kbZ1a956fXsbxbApe/uK
ZhWRkUcJtFNRvkJu+hNolRQ6pzX3x3rhD625RnC+I1+tDV47GHxQNVve67DWKwMFyhzwPJKYM1XS
H9S+uohl6aKXa5rC9pDO5WHcUtZbDXltTEnuB15XQFbdWdZkKKGPq0V3k1hdNi2qWlm6qkfJTKMf
3bVxOusaZiB//qcaA0IcjNilUigS71i6Lhr5oUqYErqZBOvMsj7mZbGpYii7gA0e8ly+tLCPq8Le
hH4V6/O0w+TLVEjl5LE8dxXkMlOdt82InxUpX5oMCIJ7nX7Vk5gYRGIP9gIb17wWMX9UzVcuZKJV
pgzbwkSJxmFr1CMYSgj0UVXTL8bav6xgc02QLoKTF2g3XZh0sFCzq6KSl2Gp3+Yje2Wm3CheQWoz
2khjZtbW8/J1bvr0IfRg1gWgNQ25+YjTlzIFGVzM4xBKSmkwqaPK/dqa49eyLq79SvdWXiytYPA2
c4oiEapozU1u4+hXRrxfTUIYQSu7aWehIecl5XcQOWwV+TTznUs2uiXkAVjSenWLc8GnSK0/l4UN
Vz9qPuvOKJPCdcpMllWAkFWIf67tG9PBJ1fOPFBJsaKdllV4k5racswpa7uR8rWL4LI4cYg4vBPi
4BCpEy03MWRTP7Xmh65aj+6XLjjTfe1DGpK4oScYkjkGSG2Cs65xjs42ap5B6oqVaiWH5oPCRj9X
0PhuA5OlrWOsKxkwSyxzDJBQIe8PdH2WOd15lcfUutWVhRkQ1VN87AflBjjRmZ8RHyKN8tmqodvI
Rb0u6o1oftQGgj+ehYwjxKlZnDnBUi1K5FtKzEaHcYniRXieSmz/o1ReOIMlLdAbiBYY5oWTUdFo
0Oc2b8sVouHeGlcTdJRNW6C3M88pYGxo6oqE6gGxav+iS2twgRDkDetzSDt3WSIGR9moGIeN4svB
1K94zxbaPivPrucBVLGM/Wvt1iNGoVoJK20krXJp9pziJrbBg9i2t40+UO3p0ePwc7uYc3iEoNy8
RWIoF7TkTtmN1qbL1LF12PY18opSqWufgKqwQ7SFN9EraeUX+gaAtbdKfflBG+QH+PbfOXKggvr9
apClWWKjWxfJfHWesdKUbBb18V0fgPMwPH+p0vab1C6JL94kX9DCa5eDUofzjiCedjPOktjcIj8q
rLHNM0/0fL5Dp1N09xoay0qSOhWdGutSy6EVBU2iTOEnfWT4OcWV+AEm+7qlRb3I6X2VlbkM7Qqw
MIizRdrLEVxTOcffGZ1Ipei+pHUPnSm+MVAnNGPjI6aSVzRk6ok5Rqedbi7KAA0E1gm0pX6h1Dnu
gfodm+tV7XTpFLQGRTSzuMZscsEGpyw7XdCUFMQTfNoBFiCX1Kwxaw6TS3I04NGu38yB0w/zsgdB
z74fz3xz9KnH4f/X4yiSm3oFzV7djhVd+LgDKYnTzASPmQ1B7peyzM97K7amWSLNlQDXks4GLxMu
2k69Lov2jJW7oqUrgwzyRRFP8PJopCgctZFyHrj1mRtnn0l/viDDwhmRWp8rtb/IepQBUIiX0GGi
r+MY3qdkwHlFARMwButSLy96z1vknUoFKrDB+2DxYkrmxyZvL8ben6AU/j3WDQQsFTIkbThve7tZ
DeVADa03LxLFhpWZsBFKmH0bAfJHhr6KMugT8njWlJqGqhTtFRO9qrBLkisNG+iZV9sSYpfQ6Fqf
lmtLnRXyo4rMapIO07wCumCP5aqisjcr5fC71RHD2H1zZeWw9Z2yzZaeU1XnSYFuWKF1uN1bNpuS
u4xiFHqdXV9W3fVo6c/QrzVraQ3cNlmafnbq7Lq68a7DO+66vf9pazy2NX5LEfqEsHizjyNkvOAI
KTYwQdoaBnJFyiMm+zkbI1FDFQuRPgM7u0fdv2cEoX6CO6kKa18HfAjU+kVfQzvhMFdJ4TSh8Sd+
9E/6Gj/lYjCEQEUYSIPDVFIwktdfaRz1MlZkZZk2mxGaWcGSh7cDEzt5xJf+Uj5T2alK/tQ+cSjH
QBpF2RIqkqyLpPAFUFGJ67YwQz0nMjScj5FfUEcPOuRjVugKF9RU6rTRT9FKHW8QxoDobeLdGdrk
bmplFWcwUbwzxRKAYRAF/ZVP0K4NGVmSOXhWddZGYaV9a/vCtK86t2jbRahk+qzFsBGDeinGViBG
RzDI80ydZ13ctFMUe/HECyo3pYI0OHODBSjPqvTOiPVuY5F9XuoNdMipkmNcvsjcXpvGUKWkGH1x
Sl9dpl3KrWJE520cXpZ11IGhwH3Jd640RX4wqvw+5VACm3xrIb6adtrSkMyMc4NvAQll7kDMcRIo
y8mpOwzFTIuAg1SlMouH4k/f9q+RzNsoav5no7U3seJx4iKS9NWKgF07qA5dSFZeoq1jmOs4cOBi
JRj3jUDQ4ERqf+phla5018dNsC7yOSraQD1jyQATbuMT4myqlK4uJTGKU8TOyzq1Pg6K9CVW/WKW
hT6yIHXtqdClUChkWnDga9QT2aqduV866dJWE+cmtwqLE8dO/evKa9EBsJQS2paMDVQcDIyimkEQ
i5pypkslZHNjvC7wolr7kqJsXpRCrh7n0kv5VJVF9qKusJvLQuSCJg1oWJbcq7pCMZSATVF23HAA
bak1KjeoEk7QHMBXPAWGMYF3NIdXMC/nnOBrfaHN6TtP/6UHhEAB/ZjqWFNqliWKJVQ+KHVwnv08
1Y0eKT2v8rMNof16iDG7irzCJa8hGrGtyJkXrQs1XTURCsJb+MKzSnet8I7MqEAXwRo2DmZloPLG
b3WfOYtKBQFY1/nCtcdvloGtdOgCPKXp/hlIiYUqUDFMrYqOPMVaKLk+5XPD7+dIZCw7BbKti3+u
brtQ/pzVqNF6A6+n43wzKbBcxSwQPGWSrrD+nWVQT8Eg5vOu885VFyZAlKJC0xJlJEmIElhbbDoK
yMvCC4Faat5HD3gxJNcLUiuZjDNfyhETzXIKWPZyePP7V/xzD5aRdZCJkxER0R3qR5rzahNxRvgM
eeKWG7nFOoeNAFm2krNdCvy5kUHC0wtv+/uPVKmW/fw2X33mq7cp9VBF2sirNoWnfcU0DWaeR7ug
slZ60iAlCFTEM6mmWDDajBg8jKGnw/lYNigoS8Z5Fthf5AAKB1CSP10Y+1jwXKiZ+UF2xzvDK74l
XVDMCsw+/2Nupjyeybz1X0MNvsJm31Me5Xeey6OqgrEiOCpkRLDt0EXl9PlAxu4MCIKMUI7FNOM/
/wIaUB51OMQh5gr0viDW/iiP2icarq8mNhjQq1TB1foHBzJYgp8mHNsYnU6TWizkYEtFuOcV0KAu
oRHFathfwoKSJrmNEJ9b3tYqzoyhij30qKTZbQCe8FKtk+SmatxyJclKs2pGF7cqRJg8J3PrSaFr
Gxwf5XkdJ2gzWCFyXXB1alUmPSza707T5bfZABA4KuL+yiEln4LetaZO42a3etVelHKD+kKKvgeu
opeJV5CZdKl3DQk3XTaGqs291lVmlaJ8BAUfr+IY+ZSQ3QEU36k22Lde0ZSLXscSAURhcBkHfTJF
/vgbrK1u5WBdju1y8LGgTHfhA99fkPWhpScsDBWG4DJQbHdBYcVZIVpB161TIb8k1Me63HJmmDM7
K+zOa+ir1pcM7U9SzRBQRZOcN8ABIkf62hH7TOqswWPWIMf1Aco3OtbynjxXvXYdlRLq/PYnRvMi
y6gsyjXHFTXXBFyT/81o9W1vOuAuu+yzV0SfhUTAPPc9dHS94KbWwQ5rsQRpNEWvzfS8VTRy0ktm
8qB5fjzpU3NtolJL+4vyGp6z4aIG0bTw3Q5rEmP8yovGYcTMbzLJ3eiwtoDwrzT8Bfgm2r07VFeI
w7TnSIqgrFuPMp4b9gaZA7pI7rgxMl5pnfczEHf0tLXvoBPB+UV3kpuzi/v+Oor7S7OjmUQHrEYG
EgYRWecpSs8GTRu4p53nXKIPVU/VRAfHYZ5nfYJ+nKW5E6qKX3Nv/KDrMJ0LC0WEfpRQBgZUx/zo
p6ZdRPYliXOofYcGYwynVg3OxPK9M2i8I41dJElmGIZUE98yHqQqWgSNDU9aGhY7crLrhAa923iN
y1qJqhCQCzVRzjWLenosFElcWeHENuxgORjR3C6ADyIzR3JoGC0QrhIpPC9CR5FyHE7FwzxAQGWe
hc4CKgZE3GhkkAnvTqWhwpnUiBQyLtuaysxUzcuv4zRF6zLQT3vboeqIQcxt6rtQZ3WEp7MUGSoj
JM5zzGSmut101OV0og3uwzCoq0CyjdPIMG7L2gW7kdZTJKyncHQ2VAhjEm7DnCRdI6M3Z55Kdqlf
UocBEAOhbZorATYnpX7TRoDs3do4B9cGkg15u6ksGesSCuFaGbKzQo+V0yKjPubVDhJEXyrFvZQ6
bwETrV/osApqTAOjKcV8JKPpRNJtnNlF/N2PjYWd5Sx1lkmeWz0Dm3zL/WrdW11+GkmWPYsDRbn0
u1ybuQ1MSWpuMJIhAE0a2920hZRhe2rO1cEZadmDxdQIERDY7D8MSgX5HJm8dTGM9qRRVXdFfYn8
tcr05eC5zkyWIMfkRXoG0d2aD16jrdFuGnH+UKSlnhW4+BT5B1OiCztGwxq55C+5lGhXakgZgN0P
5SZISVM/yteSRu2891w61vnXgiTgzypFG9JnGX+wwvBhDEeqEnDsgGrsjo3/By3Gp0fca3/1l+ya
+OlVFqT1bTZ/baD1t/7S8xm1/0a/9tN6ebgahkPC+NNhvHumnZnX724Rb/H8au7x6tKsE85VKD6K
g90iF1F7nEEfffwxaYBzQi+T9JTzene9fI37H/76jY3Yr0bq3x0EzmRyf2zLTu//+78ewxLx4P94
JLjPi6EgkBCBB2nyqzFQZSRDdgIej4P0+FEv5sm/9/3+zjj9+i3uGQNRPjhwDOhda6qqKnDVdxfJ
1U/TgeiNhplCXYS4ic86vkEQpY8DB8E+wQcB9RMcvh+v14PAfKAZDxfGfF4zRzgUwmnk4KGwTqiM
2UTJT2PB4P48H3AoBsxgCULQEY4B5Yj3GAOAzFhhwzXeXW/WhPCDp85gOfzkKAdBfp2z/Z1j4vXm
SGXHcTSNmS+uPYMA18s2gI4f6yA87lg/zC3/8SCg2GqJ4pYqRkJcb1aDjqS+rrEajnU5yK+JAv94
EEjFSY0hu1MF2l2vZwIRAwU4yzCsx+r9ER4R1BwOPiLAeHFMojGwu8RieRk2ETIgWuCokFuPdDlo
By8HYkdqJSgzwMl4vF4PgqjnyHQ3nmyajm8mKIdHjSqxAGLNoHIfZwJz66eZoBgnOGwYMFqOOVig
JPe4ZR2wPUL5gaEDbfdXO4Mo/ZFsKESXR7ooROfwwJ2BIwCasib/6qBke0QKUJFNQV8+ymjhacs6
ZCbYZJXEx6JJurt43z8tCiq9NDvBoh7t9igfPhN40eIE4KR8HIQ3Z4TQC7MpNItu7FHOBNHDO2w5
oGRPLxA9TQPosrjehEzqicOOQV/6WPeEN9oK/zxksk6A2SIDaj4thzczAbVS+JUE18e6Jzzt2Ifs
CZQWRMRoWU8H5Zs9AWQFzUUNRacjXQ5PO/Yhg2CyHBTCAepqj9erjVEEz1jGG7ZytHvC4XGCeaJp
wGvoAu4/HXZHJFGlIpqDR7kxyodXFQiWaHUqeAO+mgKcjQhFovloPI70EUbNByeR4lhA0E0HSPX6
2+snYIs01N2fkoojnQGCBX/Y0SjCZfTr+KLwccT1OnMgh+SHSIkKzg7XsR6QynvsCEgLsB6Q0N2/
LdqsCcc02RSOdD4oh9cUjBMNoQSyp8dEcV8rRtTgKNAf6wGpHT4TbDCZ1JfQd3qcCG/iRYSoHPEP
I3XUi+Lw/YFjkvoSsvK0+XbXq62SYxKpLgTrhVjGUR6TT0HMIQGTQ6KoYWOBev7uYoa9ziQdxVAQ
9D/WQpsQBT3spOC01Cm3gm56HIN9J4XJj4VC27HOhMcHO2Qm6Dg6qKqGZdrjanhTd6boQAoFzvux
Jnu0x+XjEXbIUJgnFJ+JD+lJ7a43qRTGGCZ7KD37I50P6sEhJNVnviBDAMV67yCwPTommkUqm8fT
9nmUm+RTr+iQ+WCdAIB0TCLF/UuDSBIvK4eVcdyHpkD/HrhVivBAxotQUOXF9Sa/kE8whKFC/RSw
HV92pR8eRLE/WDrCl8+D8HqrFOVXpLRIwI/10BTsgsNmAn1KlR7kX2viTeVRVBkYBKTAj3aTPLxt
b56g57rjKj1ukm9yTPA8CDoA53+cdce3HESF4PCZAM9KJ1D+xSAAYiF6EoZRx3pcHh4+MdtNREQ0
4PW7a89MACwDT+5o9wShZHLwTGAxkD0KQMzPaQTQDiR5UPA/1rBROAcf+O1xrhGoNSxtHs/G18eC
AtoL82A4Pkc7CIfXXe0TtnwxDE/F533rAC1UBanUx+tIt4SnpuEBYaOAM2GPZ6vP4D4G9+dFocKd
BbxALnGkgyAs9Q5cFGQJeIQA9nzqyLDT/jwIMg1Km4hSO9aOjFBdPXAQtBMY0Aakp8ez4W3pkQxD
2KngXHWsM+Fxih6wHDST3Q/YAon1Xyv/55lAbiFDz1KOFrSgHR41034BkwDL7qne9np75IxANwyT
+6OdCIdHCUC6kJw1gHW92gv48gr6yIzO0xQ51sVweKxgEBKrCFNRiN9de0pMaELLYLmOdiIcHjNb
Jw7zQMcK9nEQXi8GAG2qQ4HecY67Q/eEvzxkc9xV22DQPc/8N8ckOZSKL4ejH2vs+AQmOGwQHFuo
JlJi+tWioJ+rKKiPHenOoB8eMOkC1CvYDr+GsJgOrj5Auo47gD48bCIqot9Aa+pXdVflRMBYSKqP
NXbUDw6baE6B9OdU1H4FhVdxFSKo4Dg51kVx+Ekh5Ft3HkdPg/DmpNjFFBgFCnIhwfrx1dmEGcRh
WQQzAZC7SZfuFzsDZWfg4YTPAvvFdbQnxeElRwF2VID5UV3eXW/a1kDhaVnbLJy/Px/+xqT5i3s8
9YP4fkdNRjJ/Rwh+pJv+y7/wzMl9e4MXnNsd8/inv3k75A+P935k5or//5/tfYIzZVDVZXBXq7tJ
/+Knz4tg90lPv//0Fd9++E8f9vy9nv9wFTyU2/IOz8AdK/jpQTfbBIbz/8b86377mjEsSmDPfyY+
+7//6+eHfbEYfn93FMIfnm/0go7MavrxVf/dmyfb+6x8vtGLm7NwDr75BDupfQ/OTD343tNtvG15
JdXzvV48O/P98Pujw129eaXE4Gyu73DztC63f0yzqt73EZzkB3/E7CH+Y5OVe8efvefg+8/jP2ZZ
yeR5vteL8eesO/j+ixIbjn03J+88+ObL+CFNn+/z4sHfY7mumuR7Ft/Xb2+vvMeCPU3yhzLYxntu
/x5L9jQd9gy6gF8ePOhnD+WeMRc98sNvHaTeno1AeY+1er6N9uxhAnZ28GOfb6vqYd+YvMcCPc+q
P/439R7ih30j8x5L9GJ7zwb8PA4/lpGgZx88NhfbMtg3NO+xRMW9kVve8+gCM3T4oz+k99ldsG/3
EhyXd7h/efdw/3yjH+MuUD6H3zzj2Z/v8+Le77FML7K9Y/Ieq5Rb1w/lw7Dnyd9jpW62+b7Z8h7r
dPPQbt/GjgY2eM/f5YDY8bLcsgU83+jF63yPJXoVb+8e9sSOolx78Dy8QiF6X3An2nEH3/w6IHSs
gvs9IyM6XQff/2Z7V5ISpPWes1QA2N/hA9I/Jg9psPcD3mOp3mzFB5Tptrzfu5GJNtC7fItZ8ODt
G6X3WLXiSyxYAXdBdbfvM95j+YrPWGfbotl3WmnvsYbFJ5w3QfXH5fegyvd9j/dYzOJTLrb1w777
v8d65v719o/Jtvy+3RcziKLxe8wnPmMa7/+E91nY4ltMy2Z8ftwfe6oAVR7+Ffzt3pxQFFEPvzk1
jL2D/y6LOaiiYMia5+d8MTDvspazeLsvehCN8sMHhsBkn3ut0IA9/Ob1FhHKeNtUzzd7MTTvsnRF
mWXPOSy02g5++t8a++5KYQeEJ7fE+EjsPT/mj3ERqgCHP3rDTrDniBek13e4+W+N2g4dmd8bDxx6
999IKB986+b7nkjZ+NerdF9Z9q8mxtti7bOy4b5f+7kWLf7GXfywLf/n/wAAAP//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F611-4862-A7C9-FA3F1F078620}">
          <cx:tx>
            <cx:txData>
              <cx:f>_xlchart.v5.10</cx:f>
              <cx:v>Sum of Quantity</cx:v>
            </cx:txData>
          </cx:tx>
          <cx:dataId val="0"/>
          <cx:layoutPr>
            <cx:geography cultureLanguage="en-US" cultureRegion="IN" attribution="Powered by Bing">
              <cx:geoCache provider="{E9337A44-BEBE-4D9F-B70C-5C5E7DAFC167}">
                <cx:binary>5H1rc+M2Eu1fmZrPlw4BEASwtdmqkJRk+T32PDL5wtLYGoLvB8Dnr78t2zOxKHmWrorq1uoqSaVs
qukmD9DoPt1o/Pu++9d9sl5V77o0ydS/7rvf30uti3/99pu6l+t0pU7S8L7KVf5dn9zn6W/59+/h
/fq3h2rVhlnwGzaR9du9XFV63b3/z7/hbsE6v8jvVzrMsw/1uupv16pOtPrFtb2X3q0e0jDzQqWr
8F6j39+7qyT8nldZuHq/fQ3//v5ulb1z1lW2qh7CLH/n5nWm+/fv1pkOdf+xL9a/v9+6HX7/7rfx
X93R8F0CD6HrBxAm1gkyOUGcEPPxQ96/S/IseL5sIMROsLBMwcSPv3q1SkHw7Yo9qrV6eKjWSsFz
Pv7/1ftsPRS8oj8mv5r7zSvagBMATr+//5SFev3w7k6v9Fq9fxeq/PEdVr2bb57/093jC/ttG97/
/Hv0C3iFo9+8GAHj9/3fLm2D/F8GAAyOVbOuVuoA2PMTJGyMMGNP2MPg2cIemyc2NwUmlr0N/puU
2o/77i0mQL4rdGRoz2FyHGSa2yeMIJtShMTTZwQ1EieMU/gH0W2op2u0H+eR/ASQRxJHhvAfCZjP
h9UBZjM74abFMbfJE8JsBDHGJ5hhi9kwzZ/WjydL/gaN9kM8vsEEjMciRwby1zw5xFrNT2zGLFiN
YY5uG2p0AhcYQjbaxnaqIvuB3ZKegOrW948M0j+SIszWB5i2AKog1EbUepq2fITtxjLDh1JmbWM7
XaP96I7kJ+A7kjgyhM/BzT4AvvSEMAJT1rKfnCyYoVtzF/A1EReIYDDYL+3yVH32o7slPQHbre8f
GbJ/pKuHvDoAtvyEwHpqYg5TcwtU8JwZw1gQUzyiPjLL0xXaD+5IfgK8I4kjA9iptT6EbRYnFEH0
A5N3v23G6ITCxEYIjwCerNB+fLfFJ8C7LXBk6F7mBwmJ+AmGRZXb/AlbMfaXwTBjzLlg5oj6mKrP
fmy3pCdAu/X9I0PWzZNaHSIWAug2vAV4Va8wG/jEBNrLFtYo3J2u0X50R/IT8B1JHBnCd+G6qg6D
MLVNAuGu9YTwmLeEFRgumjC9n4bAyEBP12s/ziP5CTiPJI4MZzcH0nWDs9KHQJs/+siCEPbKQoxP
ELE4ZQjCp5dO9Fv12o/23rtMwHyv3JEhf7mqwiI/iBVnJxa3MKMcvxo6CdtiHMMS/fjZxv4tmu3H
fecOEzDfkTkyvL118u4qh6zYPx9PWUBjUQsCJ4iHHz9jlwxbsK5bBCjMEYf5JqX2Y717iwlg7wod
Gdqz5J2XVxA+//NoE37CsLApfuarBbjZO0G0EAjM+hN1MlrC36Tafsx3bzEB812hI8N8kayzQzBh
EE1jkyKBIZu4DTSs3oIjRuhoWk/WZD+82+IToN0WODJYT+v0W5486H9+JlvAdnEbWdYuslBeYCNi
giu+b4V+i0r7Id65wwSUd2SODOi71X0FScZMH8ZoUwYJCwvqAvYv0egEMlTwD9Bmm8/IaL9Nt/2Y
77nHBNT3SB0Z7su0WFfhKvnnJzjBJ0xgTi2CnjzxcbSN6AmF6gKKgA3fg/pbNNuP+c4dJiC+I3Ns
eGf9IWa4DXUEGFZqyDT/sNlbqzXalA0J2+Z8FGsvJ+rzCsIvpaeg+/L7R4bsORQgHqLgyz6BLCPU
gFj0FWjFiQ3XIJ0xzkVOVWg/ttvPMwHcbYEjQ/diFR8geCaQRwb7DFTIcyXnTjUfPhGIIpuzUTXf
VH32Y7slPQHare8fGbJf62+rA6y+4gRZCBZXSEU9fnaQhTQkoMotG9bll+znVH32I7slPQHZre8f
GbIXK6XWBwiKIXQCaC0unilOc+xZbWpw4bLF7ZFJnq7RfnRH8hPwHUkcG8K5evdHFqyT9SFWXuvE
pBgT/mPl3anygmy0RaCaBAz4Hgf64m3KvYL4nptMgX2P2JFhf7l6gBL7A1hu+wQK7IHWYs95aIiG
t3xpmN2mDcG0hcY1BpM12o/16IkmwDyS+B9A+Ncqbj3yZpPFHz/Wxj3bZt66awY2xUDdjy3QU3nX
huXYwhVqR2zEMIN1+0cM9XJdhn0MP3f8PP1+n077kX0pu/WMT4/465fyP7f9ZZNNO8CyS9iJYBaF
afmcfBjbYyiWp7ArymZiFOROVmg/etvie/Db+hVsANsWODJ0P8Pgrw9ieCFRCMUfxHytYGBT3CWA
zbLNEb5vUGk/wuMbbAG6fyfbWOTIUL5cZw/5/WG2L25CI7CwjD0Tk2NDjAlkjJlNyKa876UJfpNS
+5HevcUErHeFjg7t6h42XLr/+E5VdkJMW9g/CzZ3TDaEUhxiZMT2Zh4u11P1eg3tLflJUG9JHBvO
OUzqfx5mqAGxhCmAhLSfPKedZLF5Qi3wvmDHxGhGT1XoFXy3xKfAuyVwdOhmel2t+38eYGLDLjbY
x0bMZzZrh/FAJza1gcsab1SESujJOr2G8egOk2AeyRwZ0ler4hCRL/AZAjINkEp44ix3UIbdqEBr
mVDctz2Np+qzH+Et6Qnobn3/yJCFngdZqJJVfQhCiwEtaULFjv1atgFBhf2G0mIjB/ttWu1Hec89
JmC9R+rYEA9VHPZ5/c9b7U1pJkEwWX/sLt8p1sMnNowGCnTW9ny+e4NOr6A9vsMUrMcyR4b01bpZ
HaSLAMTFNmYQOT8zljt2G+Y1gm0zlhhlEadrtB/lkfwEjEcSR4bwdbWCbMQ/P5MJgVoeKKrl9iub
GqHjD6ewcdUe125N12g/wiP5CQiPJI4M4Ztkdb8+zLZk2LW4wfiZnd43h9mmlgv/LAN5SY1M12s/
ziP5CTiPJI4M57vN7uRD4AzkF8EYGjg9Jxl2GBGIpDCFutyxrZ6u0X6ER/ITEB5JHBnCN0kN/eQO
YKvFiSA2gy0SzwjvbIgxT6A0ANgSMtrHOl2j/QiP5CcgPJI4MoSh3R1sbHRW1bfVgfIVFobNqmC1
f5rknYSi4MRCsGf58TNyst+q3n7U9z/lBPD3Cx7ZGLgNoRGfCh8O45QJblJCnpvE7CaUgf2GNn1Q
mDkqFHiTUvtR373FBMR3hY4M7acGl9A98kA11hRWZigN2T/dobGIZWIT9tSMoqy3abUf7z33mAD4
HqkjRNwL18EhAIcNFAjKDWATxbhShMEOKcKhAevzUNgx7O8m6/Q63Nu3mIj2ttARgn2Wr8r6UOUl
gLaFYVF//OyJwLCAOnwh9nengK6/b1DuddzHN5mI/FjsCLGfA71yH6r7/Md821OBBZmJtzVTZrAP
0jQZ7Ix5xazjExgRQKOS0Sq+Ma4/NZoSR7wO+e5tJoK+K3iEsF/UoXp3/S1UxSGsPIWcFraBHoVR
sPnsVKNAMTd4eNAvbA/+b1Tt9RGw70YTx8A+0SMbBR9raDqVHqSVJxQVcmiWDmb9VfihYxFCHI9y
JG/RaT/uO3eYAPiOzJEhvTGql9D2/RAz/bE1DWPAuzxZ+h1iBtLbmENtmgU24CW5+ial9mO9e4sJ
YO8KHRvacqUO0XsKduhA611w0clru6/wCfjvJgfLP4J6skav4LwtPwXkbYljQ/iR5HKTwzBwQLDA
9hvYPPnsu40DNQjJwa9DkPkcUa0wszbjbqpar2C95yZTAN8jdpyoV/UwxS9+o8MO+3OYhSzzR7Hh
DujQJxJ6gJqQDR3N7acXP1GrX2L+8h7TIX8pdWyI58nqYB1fISu6qT18/Oy454C2JaBh5A7rNlmj
V5Delp+C8rbE0SGc5elhqg4tImwoPHyttvSRh7Mt2HE3ms/QY3iaRq8hvCU/CeEtiSND+ONarqa9
z7dZbPDGoMeMDZtpX0mUbU45gTQZNOV+ot5G7vd0vfbjPJKfgPNI4thwhu15cBLZP780b3qKQbMS
YFGfE557IqxN+TAkRMcQT1fpFYxHN5gC8kjk2FCuwbs9RNoTGtIQczNTX2FMHrfpbdxuusOYTNXo
FYy3n2gKxNsS/y8Qfv0Iup9H/HkrvZo9Hg744hS6X199fEFwtuFI9Jm12E+LPzEay4ff30N5P6EA
4QuqfHOjLc5j0xjqx3K7LbOGmP3393DKIIVycugrx2BlBu/Mgsnerp8vQZtQGB3QOwE2cyJTwMKd
QftZCWcXAgkDRYwYdpMQ2ODHLbik8vrxEt10JITOwRawMBRR2Ery4zFv8qQP8uznO3n++V1Wpzd5
mGkFz2Sb798VT9/b6AtFzdDtjmx0gF2lhFAC+hX3q9tNVyT4+v8hMilQ0DB9lca2nOd5Enpdnlp8
+NDjZmgKJxTSH+yZJRtTZrO4idsZRRqjWU5wn7Wu1YckOS95WPbXUQuNrKnD65ZW1EGdXdZOShNJ
FohlaYIcy0pC9UEaftRgz/BFnv01VHZt3bC6FlXmMbNorPOO0lZ1LjLKSK3YoKthcLTtM2W6XVc1
QjmokdUiUoW4lKUpl0FX2U7ZttanMi/cmIeJU9Z5TB0rjlIPlW1zDsXl/RzzMLtiSVzfIjtuv5kZ
pcWyiWTwrbGqbp4oM70I7TifJVbuX0UGteaNEclT20Jp7PCW9B9gb7y/VHXeXsYZa69Q1Giv8ovv
ecuVdDqMqxUPQ+Um2sK1K32Kl5JG+iNuy9SFN0jv+ZCIRSOT9iLQgePnQ7hIDIvc8sFMZh0JSiep
zc7yOFKdQ7U2llBb0V9VZhXN4zpSc6tAReEolaLWIYh8A5j0aembQ+SgQiBPCIn/IkMx3MhhiDIn
xjX+FluKntelCpZ9HKk/CVXEQ1CCd5MVIvAGntbXdR3fwyvNlqWw0R1SoZm4ERw2cGm1oXAoy+VV
n8aBF/Q0vKKhUgshkmoWDYJfDWVIT9Myi1zRp5UrSdDfW3aXXNDWV5/rNK/nSkSZq4wQXxKCksGx
pYrnvfALGCil/QHFuTEPS6puSEgKT9dmfg51BM25UvGZ36fDrOcGn5e07763lkxOeZEGZ10eWqBb
xIzL0LfNsxS2jcA5mX2SOFrX9kXZ82xRBDVaWC2Moo5WunMGLPyzpDLsz7UwvuSmxBfY4MU1qO/P
jTi1LlWOrbmuKvO6H2R3lvA2WgZh1sxyQ0eXlir6W1nx1mtUW876sO5mQTP4c1UqFXgvz+XcmrP3
edFXYSCfT179+eN/PuYp/Pt4UOffv9wc3Pr3T4t1vjn0To2/tLGsP7/192GfG0v28+TPkX18Ov31
h1V5y8U3WVYTTNHPJOSOZX06kWvXtm6kftpW6LtrwVkYcE4R1PXjTYehH7Z1036EwSkocIgNuNPg
Uv9tWzlUHsIHapIorL82AwP/w7bCqUcYuohBNQM0TwBXG73JtlLgWLZsK2wqwdBdktiwylsYbXb9
vbStQcXaKCI8uTZQ+RUOpm2doU6+oZ4uE5RmTmQPrqrqGaOpYzZsPpDgQvTlVctTsAttWi7TsEyd
OjDcitV4HlBzbubkrg0bPOMsr90m6C9M7Xu2kYOhRvpzyHHhJii5kLRM3MaoTpNYrVK7C5waWQ8+
BstUGGngBrQ773jzENeodHls9h6sDjO7b8Bs99kwM2sj8aqUdh7mtXZZLWqw9Kbt6jzr51ne3+Ce
Ug8HyXndUeL0gf6TdLrzVNY/5KZ9BtuZC6/sssIJGhU7aUAcKofayZi4GQT60vhD4EQ8jB0pjdZJ
GNjCyI5CdwgK7KRp4DvMX5JAz3uW+05ZqtDBbfd5kMGlZtl54RfnEp7JyfuwclKMb9sw9pogSGdx
hi99hD/6faLnDaTMHGj72jhaNdopYoPDKkROU9KHrs+LL5xWhgsGNqgDlzZlGNxpHBV/mWX7uR+s
9lxzdV0QrRYJahMnKqu/uqBZhlm8SIvWdqya5o7V9rlTEx870ueXMsCfSamIU4fttQH7QWdxXA8e
pkMwG0TInaASxsLI61tiyAea+PmijQMX1XF8ntsr3a0K0YOVt1eqJ/mirswFHDYTzKqiTfPPAsns
LjGTIl6HwfDQdvJ2IKaesbrImRNXkvNVhaIrH8b30tSZedppnF/jyhfXVuqrMzC5riXqWdYy+xTO
G44cU5qhKy3RX5FoYKET5mm7SCj70matx8JUXpIuX5dDg0/NPBClU9lcDs7/j3bupcGikEH7lYl7
2e/mb7fzSeqniYM205veWiYcDEDhFFu44U8TZ0ElHRTZwG5FDv16Num4Z/fRArYPbc5/Mp+M36ad
6Q8Th6H7C9wQqjk45H3gdL43mTj4G9sWDjwBMGxgRaEhCRQFQQLhpYXTA8mLsq67q6wlYta0viyc
nEQsdmPWNh9sg/ZnUddk8cw0Y/1V51bzCTyRrnSUyMovL97e80K55cxufNWXviyFMzPgcCQ4U9La
nBe7CZ9famNlfRELWTdXuMzQVRAPme/ULLel2zU6F07TWvVX1hRG6FQp16VbRlUMpnZQzHJh40n2
ILQ2r+EesvZwkqBPAzU4WvQ29deoN1A3/7XGGPz4HY1hzzg0yROUQS/xjXf+wvu2QiYB215fkY4G
gWd3Q/KpASKXzDXrc+o0fYciL2Q+dwZm96HTxyZZpE3VI69qcv0gO6WQGxoF9RQc7w5WLpVm47CK
xsEsyCN5E9fiLFVCKnCuTfFZyfI8TlrazUJl2JdhJZt08eun2oUBtuCYsPDBaRZQAfj40C8eivVG
0BpFoq4y7YvPecARBkccw9Aosrq7abtK3BU+Sv789Z/djLWX6EN7DDgkhxFYcKH3ER5HMtTsAqtQ
QXaV8QFdoVjWV5mq3JD78vOv/9J4Xd/8JQFFrAx6F8I6xkfjrMisfigrmV/xwrRWZZtXycLXvMdO
XMiZWdbJ4BKz57kbEdqm/23QjEM2eEq86WNswenl0IJ+/OchCRDKIEvDK1bGdJVGNV3FyUYHOqRq
Zld57vQmQL9ok7LFThnnbK0ToZat6K2LziaV6ZI2ymM3gqjsE6kKTDzJ+35dGE3hmcaQMpeK3KpO
KbFhzf7129ucuz0CClp6gtmAgn84tBmaMW8PetOuKQRevnGJaj9dhZVWgYOMWGeWQ/o+C85aGcbf
Ai6Ki24o5dzOrS50MWrYd82GIXd7GTDXyqNmHVaEPTS0kOzs10paO84bHG1KYBBtODoodqAMnMuX
U9OueGhWUpPLyCoLX3BPCzkswMUhYq6bunarrjQ/NGlPa3BhJHMrlC0UropFYhXYjZMyvS0SmnYO
S9rgSxul+bJXGlwQWhafbBVzzy8z363zKIIlV5OodfxIZVdtYajr0hjILAiQiBxj8LPUxY1MT6mt
k1scBTdBn5EO4kRWXmm//KhxahDPbjC8yLDHYBusGqIds+XRRSIp/+qbtXUmwU+9GIKuEW5rSiuF
89v6cGnwqk+dtueDh1pqeEPU3Req1He1aTDptKlmc1+V9dLyMf5YStTGC58ZKHQGGfvfgFyoGifM
SuOvOmWpVxQKL+M8K5aoFMlD2BQ2zHuSxneh8DvmNKUVnFV+Vbs9vIcFsrC4Ltu0m1ltVc4R6lAz
A9cDBW7TBrx0Gyz9WapI5dWFuJa+EZgeQrk+haUGt25mRrbDNUv+7FJTnuNKFHeUaLqoRWTgubLT
YcXtvJops4uGeRPzYG50nbnCKmm/q6AoqDtgbYJjGuAmmHc6ymFytO2sD5qaz6vcl16iSXqawVcd
WICqHF502jAnUlFkuMxvmcNy2g2OpRPfJdrI0kVlx7PAqnvzQ0uQ5YWqMsF3hJGk50S3Qi06wroL
Ox6GxP9Qt6VOU6cPkz6rHqQvMR6+qtboWCodUYEpz+9xn0aaVHBaZl0X5pWOdRp3ZyIsh0Ujau0v
0yoMCyfCSX5nMoMso56Q2q0BA9/pS1NA1CtTzr3M92E91EkMgStwIIHpVolG/jXwKDbLT+OetdLr
u0ToC1tpAiOq9XOkWreGtXBuGzLyrxuYOnbglrzgMOBIrNJ5loSVcJISFi9/1jWh7QK7gwR1et/M
LDhczU9TV4q69edtwpJ0pnzwCuY0C9LB5QMFi5nh2KrdVFZG4jSqD9SNCo00neVByL8bdcNC0zNz
rBehxWt+RQ0/8M8ywjSjkZt1qhz6UwWb+Cs5KwLJ0pmvmqGci0pl4bxP7LQ/NYE0KVyK+yR0WUf7
ZFGFZWi4ACv+YhTpgDzYyBKnHvxnGtdJZBoKXnmWfYnSVKRLUgmdzGKp7duh1oTMIyPH6Fy2UrHM
YRJLvfCrpsjuYDEmZ1Ew4HheF6DBLNdJMMw46gbh8qgv2suU9zC0DZgqlecjVJ9VhNLEC3wS1B7L
GoAzZAr8k2yIyLBOYsgPehwUSD3Sp7JcIjO0ToOQxbaL47gkXpiHvjfUPhBfRlsV4iby28hySVhG
g5MW0WCcm35izVHhBxTUhRBthno55EsZojaYxcKSrbP5noNEKDIYPgEp3a4NDSDgutD4qwI+tDec
EOYRvkJDFg6hwxvLIB/7pMX1lQ2RS+5lotSXtM5gSQoUi0FApBCRz/1QouzrgJJMnpV9mnRz1dIh
PEc60B+tCNMV7fzUdziCwTuvs46RmbKHEJSvERB5CSlj5fLWn4UoLL8mbQueRRREzZ2idvutqCQ5
bVgb+DMeUxM7GffhPjTJo26eVQ26GrqCWB+Upugj0gZ8o7UNxV2NetbNGpxG4WkFFF67zFig8HVo
MPE5M8vN4IyiUi1YoqS66XpLcxcCRMBGthkoliswuuewgonPQPbC6AZqLq6AwRNdvtRK+PgmqiC8
u8U8E9ays6K2vtSd3jifsu9uaGzY3SxvU/jTeT4MDRCJqR4WZsw2D79RvQX7BHoVKbqyaAZPUZcU
XpWM83hwRdzA1CmSIA4/ZBWDKV/V4BUEcA1sKtaZvC6R1VeZQwppAtxt1dWXqSEL5YRmXXbzDnoa
kVnflEBaws+qdOGJwIB0Am38ZJ2ln3047uqMNyEEsFzSGMZFH9irNiOgRldF/S3RnanOA3Bzo/O8
yOLojsNqsVCZia5KEZRfYWOQXTrSkiE+y3kg6nNf5kHj9RUrgRthPVkUGF6ra7Kyv4+TmN50tTLz
09Lsm/hLa6eBOk19I/3eD2JjQ8IykR7EAZzMQtxLNS/sVHwxTD+dp20BTCqzNvxc1crbMNfqXKRx
RD2KKxyA2YMD25xGYvG5iowmmCU4g2kyGD4RSyvLUblOwSD3Z3C8E8yNdmOxZxE14I12wLjOYJFp
y3NU1dh2fZHoBlZa0pjgepfRX5VoxEejBzf9bBC6Qg8aeBHlpAgx4A5aDLfqUiQH12oDO1gWAEvr
GrGw50PeNPqy61lyFzWqdDhTp1baNfR0aG0AJzaRGhZFEuf5ZWZ31oWhTSufyTJLm/OgbwvpcqpS
+RE8EfVgigzMCJhO1TixVK1yRNvwElaBvrxLghKFf6J8ILxxBvDA+k+FJoaAmym/mklmxMGZ4Rft
NxmYRuMmTNnxMhQm+tApwx8WFfDJ4SwcahikIdYRueniZKBXqV0A/1oWjWlfWkhanduDd6NmrSwA
tZZnYeBUA0vBdiiVzFBHusprEsyrxcCBZnBiqwuY1/u9qVy/UHb5paU9+hjJCsYarHTiM4z1VN1k
IkNgYHEhojlPpd06Xf0VCKuWIyeOG/aJ4qxsvZYG2rq0/IQ3t6WvRAWLO4zoWRESQBMCh767CImO
8wtWFZLc4M5M7KXf5QKeq+uM4DKujKL1UuWDzQBvrNaXSeKD/pWIg7mSPJZe25nmsi8tmPe9bQOL
YvmSXT56pc/Zr5unaOYpf/OSs31J4U7hgi/D+ypX+Xc9JoO3bvS/xhhvmnq8cOL3MMbAfz+sXjIw
mxTek9gPPmWz/XDTaJHDks7hvEWITX7yKVDtyoAaAaITqGSE4dLf6TgB5VOwTdUC0gyoGLj0g0+B
TB0cHmQySuFIZqjPsN7Gp+zEznAMLLSpAZsCLgcceDEKLTNE/LS1ZX2dw7p+xhNhXVZZd86zpHRp
XX2209QrIx2fZjlLhrXMVWl8qPsefLwhdMG9SD4IWWSOjvsPOrDOcpXm8zIB8hQNPfACMTIWYdJY
jlXIeRA3cgnOp+kGhW85YB4C6YqmzOYpK5L6rg+Kr0ICtWlAQtJh4AFEboGVddZ0xnBGi6yTvtvz
Pjyrk9jrsW+caqP6HohsAErC9Bc9yiE4QrFYJnXQfC4E5+cYEmyXnGTg+4d3RU1kMeNpb84LxEOv
qQzTY43IvJwMxEuSEDvYFmAukDiPWaVnZYBcqrGe06644lQ2TkNyATTv0DmGr8GlkFl7WrXqCikl
XJ2VX6s2uOhRO5PAcmOFL00rOG8HLR0dFbUTgikEIpq7ba2AFBUYO4FvAJ9a6eC73+b2X/0QNT4k
nkrpQEwE7qpU6FRU9a2MyR2PzKxeFrY09IcQZeUpRDVuVkr7FDJVKruztSkqR9Y+axzCfGtBUNtE
DvXp99iv2+Wm6dWizuLYG9Lspo/UlW0VZ1kir0oTn3NtzHPVnhmp7eUDmJoyc8xocGlYPLQZvm14
9+0gJuZ/zXhQyLP/yniAF6/XY9PxJPTCdEC/XRvIN3PTm8SGutkXpsOEjugMetMwAowXEEY/qFio
6oLjTYBFgEJbaIJggwn7YTo2jZrpZr5TSLs/5v9/5Ny2VoJgnT///JL8JMDcbtMqdEN/2UDsQnER
7NTZ6PeSsGiKTkE4Jcm16izTHbpm2fZW6aGIECDsyznk62un0v0XhmFqqcC6rwi/0KKPPbrxmKIO
Rqeu5Lluc9PJzOzSiMzK4UNRe51qriDHrjxLVJBezetvvci+yjCYgRt/G1vRIuv1GSb4tiyKCLIk
fe0IMBUwb/FFlkJAEhjsk4pF7iYi1eDL+J+GPPpCIVBzwOPtXLtLr2lArlFrz0SZn7GkXMZ0IMuh
8Su3jjF3G9ktgNSdYV58B/N1W7cBPcsCfwFZ1W887B2hhs8dGDzIeKfYIRAUObaVZh4pfNfsIF/G
Cvm5RfVfcddYrozlKa7zzCkUgwyShOhaNzpzw4JcxWl5lsQWcdqq+l42EjmdkWt3SPh1mFaF2wbl
dUSb4qxLNTggoR94LM1j8LGqwBVm4F8pOzc9CHgHKEywhu8cN/FVY7H7IYSXW/ip/IDBvXGkqtYS
TMRllCdLKgxwL3DRL2Sm+LUKu3TGWAuo1dJyKigXcOO0ayHkyaTTRMhehA1k9uwKvEOrY8EHMyBo
MRRR4JQB1ECkGQkcIDNyJ0xJMDP7JDolpEtmRhjiRSQ3NOUApJvdgVNs5jn41j7yUNdDwslS4dwy
C39utSSZVanGC52TdJaR6ALM3Pmgo+s4Q0vdB4MXpvy7PwATE7HUmhkqJF5f99EM+axfxHWQzMxI
cngRqAe7WoqFjmxI93VVvRAYXNM0qIB3hKDuFpJSfFEXVM6gyVN0apq+7zVNQhxFiPEhgQ2KTjrA
k5adbTuhbdpzHhjajfqWO30eFDMDQkXw/eLwjCrVLgIsP/ZY3dS1mc2kwXsn1wUcJqog8JE20BOl
sM4KAcm6AG3o9WHzikKc/dUqGn3KIC52lBTZaV9DLgF3Qe4kfoauKZcQ+xWDD/4hg3dcGfUpb8Hp
k63VQvRehw9xGjKw1cyfNUFqnJo6mtc0mfl+JoBUA1IsFVnlAJOSOtyKaseA4hmvKtLEtZvI/jCg
7kPU1bd2m8YzhSMUuglOroBZ06cQfH3X2fBNQxnMXBeodhIoxLgMwZF2SWd7SVXaS7tv/QvbYM2C
+5l1i436cyhybXimrjt/IXGHkBPWxX0LWrHBiCEUjRJHcVkujLD/iIwWzTsZ2K7ZiLMsxfasbXvk
iKaG1Vz1TgFcLBBJwSzMMuPs/7J3Zjua4tgWfiJaDMaYW4Z/jnmOGysiBwwGDBgM+OnPorKrTtbU
Ut2XWip1KevPGADvvdf61sYh7qEMgiejqzFFH/HY9NUpqtrbOdKp40RXOnznkX+eFDWvq6y/zXS8
LMRxkhZuZcbmab5MUFEOcTxWSTnAGC6ke/Hx1UQnzsaQ7z1Eh9Sz9ZU7u15i4ujZMmjGZWUZzN3m
q44gJENnOqpqvYM3d5nCEiKnMEHWNkztZelhsDYizJZVLYkpowg+UHNsNUzzSAfhbl1xCb2+uZmc
4qFe+LurpreO4HhgAJOySA7ncvY+FklprmUAjVKrYueBLvHKAEI7GXJTaT+JrNcktTZXms0vE1ZL
ZpFDbuMlYolqovbIwhD/5ehWySRrk3ajOk+Ve8B80qaG8F3lqv6mjMc1qaBBJc4SZ+MyfNOcyiQ0
ZQaJkL6hfWjCXLXLVeuPXxSJju0UvmIsCY9l4yXVYD8hpkIyVMsBP3S9Ez5kzsazWU2ja1HhlImV
k/jDnMrYUYlR3sHp6WGd+6zySwjP5XwHtuxS+zpIeVl/jiw+RG1w7RXd3iH9voBUiGuaLrWHfw8/
BMinVJfTd11Gt/Aextyo9Tg2RORTVKcOkXeQdxzUgimtg/UsxvquiZ3MK8VjDb9K0PYQTXWbTU35
WJdjitl6SFquo6RZ7YFDvi7rlLngonTsp2jjv/GpXRPUMWfda+Zrdls2sk4L2t675TDk//ZGmJDQ
5qCX+B8oToO3pA9/0RzhU781R7/wNthe/l8u8efmCHs10ZFQ0DB/GKvAPwKPBSa7sc5oXn6yqbFk
2cOaCVhsP/qm6J+MVbjwf+qNoLW5aJC2Lg1ve/1Db6S60Mpw5frGrYNHqfSDDxquIfpOLmhXZkPE
qXBxLHvkUK1rlTVS8h03dE7HZeKJ23fQklac7FA/712Cg090kZfMZKSJtt7d6PbwOGP8XS0wubyu
Ou8YF4OfdKJ+GKK2SmyrWOKp5crpXYXKXKGJsMZJnSXkGTTsKq+N76A/m/trt20eI4xcV5Gx7aXy
/TFR1O8xl4AC8etoTzRGImbUnFKBQmSH9lG0DPOS03SJO+hj34U7zsYCpxQk0og032CkPcOEcJLa
Dw8qcB4cK72E9/rKbnqjDYtPQAZV0ofTmg5qztvhWHkXrwi+GvExBOkYFwel0OjMZoKpaKcKvxFZ
Z229yMy3usu7tfqYLUikZRy+TuN88sZuTmIXP9BgAE0O7HZ1oi5Z29yxl2n0Tgth72FFj8qtSBKv
OCfjKLwMxYDHeFkSYhhwgsW7kXSok8Kdco+5uCRBpJOxKPQxGoibwFq494uZ3MWO+LL47Z1uGZTF
OqjT0hPezu+Vn+jIeLuAgrbquBrzWg5VxuXsJYPLLn4pjutUkiQcRFax9n6RGlSMnby8D+CFMo0B
m8YwqSiUybzoR/NQjC4ORS9+KRxVJars9r1bnbSMHklsPzynaPfNKpMRZE5lRJwpX8ikgzmRdKQ7
zK7xUzr2J7z2UuP69fs4aKpUcq91bzsytg+M9/jCgwaxpG4sGb6UalZH3zi3uME/YlWqZEAfeBLS
ex16czWg18wcdBJZOQfflnn6ZqJ13elx6ZJeM36A3/HZ4BFFu+2LVGIK35Xz9BD6hT43zD2Zqnrr
bHy2vYf5Uom9mh3gkytIU5e5u7HgXqIkn5NB6+uxsnh8zKMo+GcvInZoAzhMldM8cBtsGOz00gfR
UfZjcWChOmHKrUFq0WbHdHukRfg0CFec0G7TRFb2AX/nfOlNaCA4K5WPBR3SX8wFM8Al8uLt4i3B
mrqU08zj5EWrakiNnSZwsG170v60pIuDgi7WEgCtrtGsL1q9Fi4vDq0Qw21FQzReQZ8t7ert2NQ8
Mx/EbDEK6LkV2jxflbhAXZvzupqgLcsST/voH3WpRKIqKrLBn46uZe6xZ+IYebzeU3wvSU+DNQGu
PSYMmiT6H5uovj2QsT9UDs0qZUd4fyO0k9rx8KSRMYX3sCQrEVEWFzobiQf3CP8HRfS2KuJEafPk
LdU5HKaTCtbrmAwPJjJTYnWzBz0tk7bhNmmld22W6alUYZvUq7htyHQni/mZyeVKN/ZVc0jcEuxL
0qjqGf7wiSzuYdX6cWTUBSPdugn6/iCJ6+UidZ9H7qB2zco02oLlig/BnWxXUMmzl0d+d/KnqU1W
PX0nIX8vC+8GJvw1mIHbvoqAERr9yXm4oKmxr7VAT016xnIYJO+6iTDZrByai989KgHG2+lUbmrc
NYBEVvkcTFV4KAltgz1yjH4uFOzNsFT/0rQ/cgob/Pr3JRyo2QdW/H3ov6ji+ODPVXxLn1EKSRP/
QIH/TeLAPs44RKHG60tQsDeW9Vd1lP0nRIggdoFzgEb5HVCLhcubGoHFQYA9Nun0H5Xx4I/gzbZe
aFvfTCHHYsNvtEkgP5FFbcEwCxqmbly3Lg4dRn9RgOccgvk8RWaFhOfryzL5ah+4FjfSMt22FcGU
2zafA/FVph19wIMS5nEwrGkx0yCpiOhTzNcWx9fsZ2JkThL11GbOvDS3fRG/iNDirBmCIF1ce4an
eBlCcmAqxtTsiH2/di+cFSq1PbuywwrpUElzmOrxVDRVDzMjPFlWNklBoivqk6cihOw4luwuniOZ
tUOJ9mH4wIthWlg3xbNpwi6ZgfjA1I5MKo29om30snB4n14QvMa1eqGLOcfSu8xR/eiEzdXI5i6F
zfXUDhzzggdcgc/nyJL7tq12XuG8+eWSFn2xQ6cSgTruLl2kXn1GrwPRVIkIl71ZcIrgpvgYazz/
7VKLxInGvKRWgNCv6ywYFgo/v19zxtopN8asIFaam2Fe4LUWwUEJv0xQeq7nGmdVYWdvH8pxV9Ee
FdVUaSi9NnV8extw+sUfu0c5rTt4NU0SFO3tQuhuFc2xhPWZIOxxS6foSfS8yDuyvtISGnY5h12G
Fk+mdVuqXVCuOmv9CKqVvRuWNtp5oj4tXv1N2AbW2eg/UTF4sPp8nlIV31Qm8q9rHh0WVjz010Qc
KdoYYDJnulZViojMrowMeN4ettZoq3wMRgObi70KCsFi6ls/qVW5B72NWEWjvsiIqqwawdD6vber
GUwrF5rYuB7KFSpv01SfwxB8wx7cbxDVikPRk+vN8FtMXwDSMk1erTV5DkIJtmFlaNV4maq2PzUh
PdahBxdd7AZWoAYCsMjXZfFTv6Drnv1C+7bhNOazce7Kbv4aWzkPaehCpHfRUNieaGj2/Yk4vZ/2
aDpiuhUyn6NJZRHLEFg6+FufooblA9b/Y+kqBBqa3N0MAdy6uI/iFxWYIBVbxwP1ps/LuFhyGU0w
HGBvYRpHjzTW6HuDsL6PDRBGnwcJALVjG9MLN9pLmq3XqosKz0VUTzlDb7wLtp4Mr8Ryd87Wp7nw
EM8rWjeOFi7YerkRTR3bursNVzt2Gj+LGGd4pBalmaCZKFx7oxSelGrrFOEi3HK0jqJx3azbukmK
trJu6fuINlOru5KQLhnQgTLW8ONC1fXC6zkx6FJjX30lukabhP61IU2XR1LLzFkcmXVbmzuHW3Pf
h0UmrLNHF1LZd3/ri4dLVR01euVS9Wvac9wGpuEf69ZQ+2t/xbcWu0WvvXTk0HrCgdwknp1CfpMT
Hhm/Vbi30anrGKj/1rrHINJghNaPAMO+x1t/Xyy474Kt5VdtkRPwcInToZ8wRd9eHH8JrzwMC07Z
9NeLAWgBFKrKo9jybNmmi4lzlRYDJg4xmyszSIZOGNNIHZcPYsDdHJLCOw51JXLCccWBXwBiXO2d
4h2FZRSgL2qMTTuMPUE/TBDp8GAJ2/PE2aYj+BZ8Z9axylQ/koPA9dpmKQlaCTx8f9eQ4Fxj3HK5
+8i3au755sS3+h5Yu5SJVsNQ3XSLN7zKONRzTnVLq1RP1XmaDIyO0QSNj0aVt7C9Sv3G4kKQy79j
/Y+xHrjx/+gJsC1Mf/xFQ4BP/dYQ4OUoWOToge0GVkq2gvxbQ4CFA1gowRBFDAmyij81BDHe/A1k
HeHWOGTb1sD/9zwQvkEeBj4rKIFt5o//SUPgb1md36Gk8DxcD+8YjrCbDG0h2/78p4ZgmXkBdIaT
G2m7aD1aqhrk4UQw8htgGUHTwMNw/APjm/w0iYeVFCSRcNhQNiY38TgtE1CyMp/ikWQ6bNyDO0vI
kUsA08GoD2+1RQod8cP2esmaABj1oOm5bgpQMby6rXqwCAUf867RJDEMPARbLaTQGGYJwjUcyKA0
yew0JhfDWGeCjucJmbvEi8oX49G7Mmj3tEZmTi1Za+y+7JETMm7jYjBSdxbdvKLqiAMwTMpaAfUa
HVgMIDQgktqPuBruKO3dwwSBFm28f+u7Y301Eat2gKDazOe1An/Yfw948TFVyPI0TpSP6zcU7TAD
g5kbJyiyummvFp+8dG2BgQ/dxIFoUKforJCn7DyRBAqNlmXxkHpmOQe2rHJ/sN8mxneTMmcvnvde
BPe1U3sd6HwAJgnR2kAg7mQ6mODbCMVOzphaYjeBAXVpoejZEPDkVHAYpNGYGqh+bJP/6ro7IGiY
L6p6rKEPjmN71w3uWUA3BHUBdids7gwu6bRJi+5SDu1+dDy2Y7Q7eWHz2WqB4T/iF0jXF5B0bUog
29MTmtXhzltga7xXQ134uQ5U0d45dly7feNBSixc6b7C8I1VQo384ocBNPBhBt4yfYm12EV+XKQz
wx+X0/wNJVGnlV7ipDHLYVzFNWk5y9E5rrt+FN9nB/plxdY3pHAfR7vcecZ7B299cpV9K00VpxQ5
zDwqyNfSX06zW6zvtehlUo4dCOcADaEBXRu6mCTD4Q6Y0SEamHMB9/u4lvix4NJDFirYDV807H9h
MZmF2SRG6MSSxvlIV/dgo+9epQigufHZjCCmmo74WQ2CTxZxsA+dEkAu0ObOCxH5MkPqKPGlkL1N
62m1O2QfOxgsxd539Fs5q4PCY5O2rF0SEIywAbTFwI6gFzK1x2UmHLKFc7ty53UY3RPtAg9ycvUU
clGAf/QjCDYYlwFUg/c51JGMIISoU4vTPxGgM6eehYmg8rsW403XkA+j4WPUGNXlWl1DwDh3AVx/
tHPnFihp4geBSSvMuYMoRVKNZt73CzChUaB4+TEW8kj2ZiOVN3V4dHXxFsige7AORXsrGCBqP3yK
HPGwQH1z4/m1F6Q8diI+2qU/84J1Z670K4VlgvDBg0PpUQTsxokRY3bpt47Y66YZDgivTqmlq806
r50ykNj3xsByALxWTOV+qEScyyVuEzw99F0bfRR+Nd1zZgTg6XoHW+9MRy3/Vax/jLs+wJm/L20/
3p/059K2feq30gbFetOjMUluFWnz7H8rbd72jmXwzggCIiq1Oem/zrpInML5R37BR/xj+/j/l7YY
f1+IewAQC/gdMEL/xM3/Ja3yc5oFlY1EbogXYGDcpfgufl/Z+AQbOuTlelO2t8GK0xF2MfC2MX5a
rD8n7go9OPbbC9Lk92wlnyvEpTRyLERpAbt0LTVQxDGGIhnfAGhQUMfoZyzkVT3Fz9b2T8Hcfp+m
Ytc78CLLOHqrO3SgTFN4bDPQU7+5qDmYU8NNnEgbXM9uL9KaupvgJZ9pQe0uULRBEe1TH2UGo0X4
KuvouVjtp8NZm3IZH+Z+epLleDvE5BpRHG/vxuwB7PqTUktxzc14UrOBJuzos8cqAKetwcOg8DNb
SLEw1dh0nJjYgazgSRW2u1Y4L1NXpvEYJqEfX9cg+i2Q0qyN4LXyVnu5hVBflf2uZzXLQKUmHvG+
qri8gRpOkwKbCvD8N1lpeJB6ncbgjsE2rIIyRVoTgdXWqfLYCd8aK/2czjzKF2ThT5Eq46yfPeh0
OA2WSG22pclqpEcyJGuwHwC8YOBND3SFtmWH8BnCbC/TohzIQxxNxRgnSIvC2Vyo1vbJm2dbpYYB
LMpCUFibbzCa4RpcbYW6IYqaZFgP0CS9KS+Mmlzqde/WC+gJQ3MkQmGhF8V+cYlJI8v7hIfeE4k6
kzYR+dZV4VXtaqTeRvtuiRQJ1bhxBJ+eALS/l/W3gYenntQKQ4CG/j2dlyGqUlq1B+W7Ti4kAg/g
Va9iVzWpXIOzEO7LSuip6VDTm3D96L2wfyKNvi8acu/BXZ27+Tj5y36pKn4oQ4yCTskPKMeYQvrg
vE4YiGKni46rsyKR0LBnxwwsob2zm2N/75YGAwqkbcbno41DCXUScwgp2iw2sPkNEiNlCWTEjext
6/NdMGF6wkoBjHbTs63rlzr0vwMdayBM9K8uU5eWy6c1Em9FM9wuQpbpMrKDbKGNDi1i10oc+FJF
aU2ANizjqUFpTf3KvhqYr63Xf4xriYC2f46rEj5l90bLecx4MNcgcVsozUP9OJHhSejQJN2EMdWN
5FkuaAit1yVj9NYDhgfAQa+GLrq3guzdgL8gTLjs3XVNm2l6D1lxj9zGLvLam4CEN0vnxnjGrH+p
GHSUnrYXKxFqDIqdbL9KiUi4Gatcz3yvytlF10e8TIXrbUnDjGHUAuQ7wXqI9KudsEeDU/8DZEcL
bUCOqQt+z0PvkxizPlILbXhRKKPBED22bXFmvftmmbiCMnsX+M7ec2WbxH38laM3bmKG2yjqj2Zq
cAPyx7qyS84r/1tYoacujfeI2/g1GlGJPa6ux5Le6TiANLFiT4Qz3yo+IwuuPZLywo8ywdswqamI
MbcOHlqWpb5dZXwvJc4VsXb9kRvh5g3ovV1L48+Fj4i69bfcG9AJRnDO9OzytFn7OB+q8NwxTW6B
M++dVQmoCaavHrrW+8LXAFSftGCO1CWwxafXemAWpxXES+zko/SvxVhUie7AkK81a3exxPZdEA4w
roXMBtmBphn7OOnGGL+BOIKiH9ZDyslwsV50xj6UUzl5RyHG+6EwBppScKSWXC+Tc1YNfspS9lk3
YkAOrUOyFWHPSjRTyiLyr8L9X4Ub1O3fl3yoYuMv7y/Cqtw/F34Xn/2t8HuIQON1Q1CyPbxlbItP
/lb4/f+A8A1/NZ03WO/Xws/+423YXxxipQNS1z/PtNiN74HYALf7w8f+ZzPtxiX+YabdIqUQt5H8
xf82Ef7nmTZuIhu3sMJualMi/JYOvXJP9eKRUwtkrkor2jytFR7gaHEurIViVIUNjt6KZqJ1MNSO
1eNSjGfJlgfjLpeVw9btBEXxmRkCDqVFbmx8npv1OmqCY1hSCExcodJi0cGyoGOfaLpg+0RpoZA1
IKUwZcdQZONlDxH8e8CKMZ1/IVFLuaaA6P18kE6P6ZDspqpiGLYAmmBaelspHB9dkzUHy9Jk7tA9
EgrPjkyODzW4SIPOuuk6jzjie5MOLX+pscBm9Ck8aK2zsJw/KY6yivdNFnrRF/hMZWpo+Ur7ReMk
osdgYRgZgFohifVKC7JnUWdTPgc7gTEkCXRz8KkJM6PYQS+gp1diBgSYls9V8c9mXG5QA3ocPeNb
6cZl2hC5l3I5AvBqd94yD9lgAMewovtauATokNe+diqE4LlxRXwav1Hu22st14+yC/kZWgGioKGP
86ugudMy794HX5hhoZBIyy1yojAv7udZnlE8DQQtOAtgdIZxh0BraklUQoqL1K5eAzetkSvMGepu
UsQWKyb8Vl+tLlsyiTltx2A7Z7x21nQEegpjVgqgfQg7rm7J89bV5Rmabr1n8Tw++KGxz0AORKZc
BISkrt0rGLJYOzJL+aYGmIMAougrFODmXg9efyuoXx6ZNyyXPubQJddanRDgGcCqEVJd+Nx2W35t
uUyDrX1Uc5d/Lqx0GAIXTn9sffdOqtjLhZi7JxQ7YvYcqf13p4qL74RBC2422noe1ymXALDXBj2t
rmCOmI3O1gOSYcC1R3SCC/DtHhi3Bs6NEF+cOv10PWykN9+Y78g1cB03DjzaiHACNJxsjHjfuMg4
b9Q48HEEH4tEbkR5u7HldKPM0RehdG7kebQx6OoXHN0vH6IffDpIdbUx60AYzXOM+OSRQlRLxMa2
OwyUuwbuvmzcO9J12bKR8P9Kk79IkwSEzt8f5j8WT//3nXR/Ps23D/96mmOP3kYXQZwkcbSNZD+d
5ngnRYQQBfIaeCENevz/P83D/+DoD3HOAueOfmxl+5XKDhAQ8anLggBlwMdf+0/mOEinvz/LUS9c
LGojkR8gchLgu/v5LA8EKEqcfORaNO9WXy/L20+/ltsf8+DP1Dfx/kQ2be+iD6BDYSkA/Nk/WqIT
12SE5z5dI5+b+373fe0ILK7qHpuuvqOpyoZqKDPo8CDBnfaIfUUHBNTQ1mCFGHWoAuYR7NtoODja
fazgNmG51VenRrzb3wDKYUn1KBHOE/UNxKtQXgIz9sEN0lcK42hpoJj5QRqKvlkxDq4W1cINj4vQ
/Psculj1hVhWto5lBL+prL/2/nb2IAKaE+3DuXUL57UCtpTFknyZxNLsRi8qUowryNbFIJcLj91E
XeTkNRte46EIcmwW2CAaMt9W4BKAeatx5w1BlSDfeDZD+S59/4Iyjj1ozXqZC9Mf6lYd2na02NTW
w4eo99Avr3DCB4m17bvjzhh0yPK9kc7NCAAFnoe1u4mwrOjGh6hqEsftjkEfv0vXQRB8Oo2dq5DH
We8WyU7ogVu4nUPmjfLUR9EH98yM9rs6FBAvJ1l+jGCUYLwgdROyA6ywGwdbDEIs1xHcf0PE9xRP
EbanhRfS9tDgfHNVBzajTYCdP/2Brj2qBomfq9ICnZf17cDBmmsLVL9037reH9PVqWD0kcex9uQm
r8oEZPcDtGWVCr2Av2Tlca37EmNuGGI4onu3LzWwMvk+kTif3SHFtdi0qNHsUPpOCzzvmJgXooJ0
FuE11fRNj/ZGluReNLxNsLthHxFzJebhqNYZO/iqF2HWAlzzfKjNfBF+/UA91SBmU7+gcD2DBn+h
fNqpAUqsDZHDH94pGeHLjfHeCfSbwg+PoPuC9t1+hZKQY3BLMaVmgVwu3VwxOLCQp8mKyQ1rmWDK
RTwpaPSOp2BXldVbwWFuLhqotTNNuG3676uqDgzDEgm6dyxSenMc90FHK1x5XmVmiVM3rD+t5HcS
YCxGjuIisRNmD8JVJsSJHgXi2n03CQzxmA/cpvmMPeT+nE6YnFkgemzR7amESZ45nWeykD5UMXmd
sIhk5yCCmUD+xtNTzQ+uV52dqWNwigHYhv0ywF8N7xcGOX9ap/psoD1vdqfO47qDgUhQw2dNrwu0
Q3kZ0meXsiKLe84+EUOHnYBGFtRuRyc83wDsNOYgB9JqVZoSYY2SXvqOgqjDryIJZAfV3EHKqKqV
yAAeDdge4bj5aDGyYk+LvFeMgmBqJuir4OKZWP1k7IfziA4JxJoGXLyQxAtgHnp+rw/YrVblRTld
KNZHJlp27d6z4Z4j357bxfeSidRdrsbN6G3K+ibCyirY9o6+gy9ZpJx3X0K7Pg88+IgkUlOBd1UJ
r0ljz3GytXYuXIJV82ovhF8TLvARVPOgwsnZNAlev0yyvZ8N2GUkdW4IMsk4WdKhIhmiNsA0u/Yc
9REORGwIQ34XHDNo7Q7wIc6oU9HzA7LkAPPAZNnxUlfOXoTiyq3dFzmYNJjc0xwD72oX+U4qHkKT
QMvLOEVU3V0Sjr09n92MHhZCGrAEggUWj9Jr5p0pg30AnQi5ip6lglmZ27IcriyT14HfHSRkY6+n
WA+JtnppQFPZOcxw5B19j095AULxWK/miTrdY+M3MDiSqc6wJE7k6JKbGGfOBJuAqveWjA7OX+d7
r4WLtAUASXw5ggQBJTcqqIG3rDIyB2y3NPuWNOseR7944T2+gj/Vj20TQNBA9TxN61Cd6qq4buOQ
IuQbsCPiNiIhKnoMe+yRSQgYGqxY0z2aZ853iB88Ur4+sja0r1hOgmTCpPQunAovieZlN2JR475z
DciCtUfgBx9MEFGZXoeyZrutS4KzUIIdh3szHojBdCznbhewBtHZRr1R0x3budwt0QqRAbDPGp1k
vz65ospNicy86sTTVPswi/r4jPCuOSqnGjLFa4wjE/aodK77BiApyIKF9K8T7bysU41FPAc3eoTQ
A6KCwau/xOMD98MFNKATp9Xkrj/kd8Ro/zqUhSnzp/LPtsgoNgSh1QC2iiznNk/+XP79pqGYlqoW
+zqqDK38MaTz3Tzo3f/uArb86V98HRJGWFMT4LH/w8g4YS0O/DLRXjd1fQUF9wmn0i1rmncclwN2
u8S4AGt9MEsHRkUetC8uwvgJ89szTqpLyHVSxfIO2uA9vMQ8EFgCEI9gevg3NVED1gOrVC27pm7x
8b+/9b/8zpGbBbRDsEzol2H4JwM3bCZVjrHE1hvsPCzWR7fCmhD1w+D/28sQ/54bw3VAMI9gJxSE
e/yOcKP//jroSXbYXIrFYFgMopFmJcdA4WBwgT/vKmPCnDvmFSur1F0b4x6M3ePM5m21YIeDKnDv
bNXsBNCTu0kE8UOLqgTP89pxvRpPyYxSDsUwCVVxXcJLW3iI37mP54Y22Bi4xqG9D736Q451CuGt
3NsZUq32aC7qUuZyDL44g488KzQtnEpArEjspaoPkNAaZIJShNZG0GNv/W8liT6WKISM7IK0iuqr
1SJXGmHl1sH15urKFV2T2GUS6JvGEvmzKoJqWTzzyWse+xkIS+wVl7DZoBPajQeKucoolDivg2eA
vW155/o3kD9a8COIlnlBfeHux4TBPoyOOBffmFM3eMq9w1qRt3pbttJ2rU06CNYBsruWoPVALFhm
UTGpbHGawzA2IWIny2lyzYeEpPFlrcO9SzHSR7W48pWtMab3uzKAWA3x+L6htL6OEePyqF3OfaR/
pOj/9nbw/vJ+wAPJNnjB9X55denPzyUPsHUFfzZeR57/EcS6yWxn6mvq9BqwtHgvNKRnqNapR5cM
24SHBCfqFX4rFiEpGR3ATF+N2IkyW/8qVOw1IK3Y6Sbsd8iZkWMTImlZlBBqDTMsdxWBCIGins1Y
W5JBlkA/goPIbRTShmH/UDSA8zyhFarBBLQdYYO263fYXYScP/3YAqSp8RR0hQZEm7+id14LGBte
RpH/htqA8NYw09eK0ePM/a80WsCazzgGYBjTdnnkcXWJYOz22B5KwxV3SJdMq/8QGnMlq/9j77x2
IzfXbfsq+wVoMIdbpkpSqZTDDSGp1cw58+n3YHu1rdbqJcHY5+YAC7ANNNwSq8iff/i+OceMroH3
XuWGtdHn7sFMUyyBRSl60JvZC9aD1/bjgDQRvrGS4B+DIupKuvAsMCacylIeJUV4kKKhdmuAgHAj
RH9YBOzYU+lJarMRxWRHRcuT4VOyGrlqisDMNNEnIgwbpQGcc0bfN+tuUBscLXNCUzU/K6P4Witk
XRq6p818zr5w0yG9KKPpzCh0fyxVNzIQu8WF4chWfJlWQroDY+VBY/H0LKDN/cM4EXIu4WUcBOsS
r/v32BBAi86io/aJDyM4dfQWiAg1LUnSYR4pm1ipeUoSJFE1XBw8HpWd9tGZIAVeKo33ZdnhYIpP
WqTaYVT6ciocclbxaETrLmWPQ9X6qPsKKCKqK0msmlkw+h3Le9HkldtDtXazVNgkyA6XJLUNC0TH
KIWj04pMuoss+Ylk2tponnA8bcOiO4RjfVaYYGK7LgNLVCHPmDNjr4bjoZITyAAlpC6liiXAXsk2
Ai4ktJwSMh0AHQCl3qAXN550DWXbyD7mmE++PvulusWVfl+JyMZy8VzXMEzhAT5LIjghQxBQzJIH
xKKaJDlGEhSbcaC9zb5hiy6+dWfd2DYDuxCjpMVmBIOHU1f6Ymn73cz97k1V1uPvu/VBjqw5saoU
shDr/tCe5wU6/4H2zniRNucSJ5bP16Nf+Qt/rhTvr/dhJZWjqOB0wcxQlm8SaLnpalWQhA+juv38
Qiu589c1mzVJhx0hU+il16utK+O7bza2Hd0J6lbHRZqRAcZT68SBfKO1IXyeUmDMofGtqhjDhiRK
5+Yqi9ATDHtLsojeyO91Wkn4Dhz0cioUEwxCf0fx76IUjeuM7RunHqdr5espRLhUdKGfd/ETauh7
AeT7Vding6fRrtjkWn/QMBmysfBmCXsNW7xNgcfmHmjldbVkLpWUfa90Owq9hyWcdxogNthHh4Zl
G0bMIZXR1/TCKqdwEJHc51XjxVmwGytciNmEOVPLnxdx1hxAeI/1ZDX38iqZwlYYfnFXf623/Pn4
3t/UDz4vlF1F3ATmdDSnp2h5mc2vsIBfPLR1uL57aKKQsUcO05lW9nWV0KVTbr8YFp9f4CPCNNfz
VEzlcD5q8ilWMWh1nhjNzucXWe/C39qCn3fJNHW2pET26h+G3mS0AMtUvgWSLKyj3ZizJ7nFyfzF
01izX99dSFvlC0BT4B9Q/GJrKn240JzExRguFUIjW3plUXNvMj9wBQ9goHNvF/b9TneGs5cr6MN3
k/ecefMLb3S7VXaff2F5rbN9/MbvXusfH/Tdc7OG2AJzzzQCENoVHdGbrvtNfomswLOcrPGlDffZ
RyluY8n3LLcaPPVYvH7+KbTffYr3o/ODpiMLWkRXDff9YdrJnmF3vnUy7AuEg5G7udecM93NN9YR
Q9K2uNa2N4FLd3/LvGcvG/C1rUvpzLVc9F9bUJMXkR1Nduje0Rc40kXZaDtrVx6An9zm/vXnH135
6sX6sIMW5DbO4OYyLu3Srvz2rfKrG8mtHWx0buTGHsyYfbk5vZ55/U5zOLAn+8S29skRG4MTgBq0
vwXO3eef6oOt8+dA/msO1T+sDjHA28bQ+VTRzrIjZ9nmm+AGT1MKosLWbTBozmzT/zjWW/mJQpr3
+fXX4ftxVOnq3+/Rh9mGqUaYiQKYjuJSesY4HnDRHweCC75YlNZZ5bPrfJh1zNhUhmHJ6NeF9EbG
V3HajvrLrHi12FGK8j//Vr9/1H99q4+HSSFn8tfqpD9GRsrJ76oKL/9vF1gboO9eRjp2ma7nHKBS
7SAn1AEtw/38Cl88GGN9Ed9dASm9WWBOnY9ldWzz1K9klBDmF0/lq/v0YXJrpazFT5J0x2l9Kkvm
WFPi/N++x4cB1pdL2xctjdpxmJxYJ6Nlcpb89PlFvhhdxodZSQ9CYaY4x2ow6YDhyXjJuosVHmrM
iFtH+TiE8Re37rfPR7MkqDfQdKyP4jYTfXhQxV1/VPPva6oJltFU33z+tX77eN5d48NLk4VWK6Dl
nI5IU6jfX+b5F1WFry7wYUpcQLEoSVkPR5FJm2J0qmRf3KYf6+NnL/6HcQx9xERYxzjmbGDXTrgf
tuk5RwRnT8SKF16Aczh8ftc+WOx+Tql/vf36+q3fvToS9T+pkyPWqAcKwwWz6nnIte3xGXbwbrBP
mEH4H7bm5Y5km5eCfYWdmlX99FiflD2ndkS4OKDsbeFEm68+3m8X8vdT7ofBasYN7I+Al066WBdy
wSaXQd0VkmOnG9W9L+y9aM+H7+ILh7Pmdj6M9vjF7LUaGz6djT8890Fo9ai2ZvYS7uAu7rxAKLOt
Q+ZeWUf9TNn07qPsB3ZBxdZvNtXGdIQvZuivPoLxYd0TUBWpxVh1R8RFNrYEvIvfNF9yjUP/Nm0r
Lz8zNiRMfEfs7Eyb9AKx0dsX42S9xCdD0/gwTlJ8OTgEGJqNP/m1DUpm3dXtUudm2E27XbxuWo5d
bt/TVXdzv9oYJzhGbu9BnLOjp+yLmVJZD2b/9nn+ft21D7fEFCx6QwVTSu2pGx1HhTv5i7+coSGw
X8Nd4KeOucPVYJdnk2Pceia7g8LrNql/HbvrJuFfm4P/16zG/w9BaqxC/7l1775l/3NErcJ4+jvT
4l8CLn7wZ9teVv5Ar4NnWPoXivFd216Fi0ZjRqFi+2cIz08R1pprIYqYjnQOzAD4113qv9r2qkRU
OYAPary6goCLV+YfyK9/XZ80wiMkrM4WpEgQjCohyr9OgtRqkjZbCsKxYOeIaXxmhKmjDF+1B+Qf
/qR3o1YTSSZa1WZ0CChP/1vhHph5CkoqHU+ahnmig52retrSE2NFk7GUwxSQswEgpysvmHHO6rS6
NWTqxBVcB2cECe6ljZTS9dYsF/kLXH9a7bagVYCQxuZhbKvKyc0IMfHKQIva7Lrigo5cZadSjHEj
GAUQ1lqm3gUC11HAd8HXMg91PjkW9DengDbrcuaFG5YWfqAPPiEgndsT4eO26YT7g4KCaZxbam/Z
fM2HCEGxg5X4GivjlZBPR0HQ0IGKqyQSphBRGDvguMcxyEPkP9ItDovMFpFMuvLq30DZeglj1yep
494ymzc5NJ7CfH5sVkNvSiHLhVl/0prgoBt57HP43CIMbzYtpXJHaZrbUg+3samGThZFB7YeL8UY
pf6QixWKHyJ/snKqXKFfQV5YKn0JcbSU56vwKrlQTTRVFKfZUysuIven3pBumzY8L2nVUYaZr4y6
3yAE3OLhFewOqRQfVImBSMA4j2TtWkCG7yAUNR3DerI6vLTK5PY1ArO2V0mQg3DCqZyqaZtscNF+
N2fah6KunQtDjzulAFZX4/GSjPkoj4jhZ86GYyTFfiplJ2DHia8o42YhoSwMg9DuJHVjDdzbaETf
Leja4FaoFFAPbmEqXJXFMrvK0t7FOkyPEPCtrXTZdTv2O5Qcg9so4isbPxov43yXxbEGln65kCeg
HG2UDDB6m29SJn+Txwzv1iRty8zaQe2RMHKNG6h+lzkpBgjh9TNDWQpHz4rXJakeIoPSea6XN1io
EletjXQ79srGMOjWKoEPtAsEL0MMUIg6RvB/o/q5SMqw8RdT6GZH02mOS+KUIi+Z5QboszrWhSsa
oy+Z40roashkyzQoFbPkiAEOVlX5NorWLtYkas8YmglKqYa7VFNWjtgoibRn4tUZNUmxmybyTsGR
K4Hk61a7tlk/YwS8klLhzbR4TDVd2pLRCDluQErZdlBJRrccU2kn5BpC8XE4Mxt8dQJdXC1OgXa1
Q7wyTsdHPTFabwqr8zBGmdxWE+bDlXndnlUJ+VRdux3Hbu2aIlSwUP8nImjw8jzVeWWVIj1hRzpk
grBbMnYwURhFdNNn4IxD/E0fCWpIxkSBcixdAaHfTGX3lmIRdNgQ2IVePYyNBzpoF6kNNHJhS4n2
eUrEp0WbU8fIIFDP2VOmXg9jC9Gu31dlaGcCFrWicWQf63RkqR32XsUbFXU7yIrfSBFWN7ojtLWT
zhclmIrhoNJ+luxuKkc3EJqG/Ktq06Nen8vxsSkT2Hqzetd1onleCYQe3KzKxtBUmwBnQY72590C
c/pzunwvgvpYBmAWXfv4eOjAUmBWXcPe3u9Z27ZV1GDW59M4O4atboL9dF2e7xIOx8/FfeWlO1A9
dnDAxoYxZPNVdWk9hf06iXN5y2DdAXCpQXP79fJN0GuDoPfLaTCeq2BncSi3picB5cvn3/N315FF
SaQpJeqqKH7Y+2J40aQY9vhJis/I/bGz7M0Kd2vH6PPr/Lr6MQdxO7mfrIEUlpHWfTg51bACtF6K
RBoGh0a/qBTc4+r959dYJXv/dtPef5kPF+kjUWxlYtFOg9/ewSPyhq34zXRNgE/nZG2G9lXjQeX0
5e3t0XQz+zicx/5d6wXeZbIf7S263LPO5S+6pc+/3t3nn291hv3b51sJzIaC9ARh3YfPl5Gfgh9U
lE6gS4/BpeiJ59J9uCdyBFc9G8b9o7SZnGPtj1u6c/mB/sslTEefKLs/t7b/3UiuA/g/byS97H/c
soE895uNJD/4cyOJ/hM3Hmw3RWXl/FXNL/1BfAxFaEIdKTWseLmfan5Eo7j7UGTKPzSe6yn4p/5z
pdnIKoJ+WGLQTsR/hKwBgPfLOKIEbvJ7mJlEFZQXKtQP46gOg0kT6HFeQOm/G1f01IAUU2DraxtJ
25xI9wFQxWL5oKlV51haViMdFAxaclBxW2Eo9vRcejSTzNEi5CvYFAaiThOpC0pIrG8AaPM1h4NN
UeN0al96dWANTr0itRLYWuSXoPCfzAhlv3Frwd9iVSl8fUEyZMDmYkIItw20ri6e7gPg46Blq+um
jGCeCbG1lcTwtYD1NSniAbrqkbxUxNYrDoxEWsmfNXxOiKHOsjHezCs8rIQiBtbkMejkfadXLfko
/bU4hJkf1mTP9KMu2vqkvei4BrboyxAATtrsW+X0ppf6m2FaiQt0tXdbuGbWpDwUclnsqx6nGnqb
Z3mILqMVhsbHfLWK/CJFb0GF1HCESC/LuwmvssfUs0mxIG00YhRhaPphCWsyAMGxaPmbnknetEYu
llm1UQlhNJrxaqTFuMUCYGLm1ghDIS8WF6GA006YLoxoVOyYYMeYgMdhTXpUZemHOrWkVz9CviUQ
EtUjWb3dE+kfxB8oZEb2eCqWNUXSFOc7M6Ple5padOxVN+FRy1gSrbNIqL4vfYQqE2SM1yY9cTkT
HFJ1yaZNHgMOquPE2lX1HF0qqXwLLRNQGZk+Wxk31hKmyuMiGjbCD8vqb3o9C48Y5qv9IuYNWQ5C
uq200hsT8UoCmMImwwQAAznHTsX4biXqoGmgOKqQbOsqIY3kSq8mVyuJqhKE8hQmQYB1EPu3Lt6Q
+wQPJQHv13MwyvS92hfcYrwdQTLdV1r8zVDys0CgrY15jqoR4g/bEPpnTIJwU1TlUZCzJ7bXqPhC
YzNbKt2EKNnKIjweo2zdqV/QTSoFgEHTn4vUxZwHYjA9I/6ZvDCB08o8X+dL8V3MStMjokm3UTTA
UE1D4vKE5BVlwoMmw3KNpqss6s7mQbgB0/TUsVxySKBnhyUL9eURH97tVCSHecx5WoF8F+YY7qMm
uCGn6tAl3KFKDlVfqdi3pqZ1LGT1MTDGW/hYi52FWYKnli01uUQvrWpdjQ3Njqrx5WCFMxrDxSip
V8rMd8mD+LJppR3BBA7thH0IFrHX6d0L2ks4d3frcSUsNPjQ2kUUL1ulyZGwxRx42vlB601zk4RC
bqcx/TqmORyqtYDBZoXYBmQtOUPcPDRtvlcsZBIKgdPictcXAJcHZG5OrYy7qtHWBLUS9LSQXcFn
fiGSC5hrirRl0c3NGt7hQVw1vaArWw/bUe6TfrFdVIhOSZUnJOJUztQCzpMBUK8zLrOUVHqpOpxK
hD22jIHV74f5MhRBBkoQC0RuAXPSpTLr50lvvRKgsNIC9FtZV88VtU7QWcITHuYKS8o6xTXRQoCr
eC1bhZ8ZEUylqkU2DQzckrRsmwMikrIOZU3e6dhUp/t+Ca8lUX0xcqARoWyek2cQbMJQEHzO71eS
oTSAsFOJLBvjRSZQwZOKjPhXvfJmBflOHsvqimfwU5i1TbcE10mNIzdupJsiHpA4w+h4rSLhqBPK
gqyEOSKO78douGisaJtr5veFLbDXwdoCBi0C564rwhhbTQDv0S75fQ71PDxf6OeSXz6UHt6zg2Y2
N9ZKwmtWJh5xdk8kgFtepQ4KqQ3LA3Zr1BRD+6J3Qu0sfXNCN3+MgO3hB3+agO9JK4VPKZp9tshe
GqqZ13faJdC9894ir0pfGX4JMD8TqJ8o4C5qVs4fQdwiO/n+RgEBGAdYykACkl4OLR3ZHJ9mebBW
bGA93+XaeInc+sR44CYAGMwBDS4aLqRuxYoPYrHpVxrhqp8swBNKersnXu2gitNtIWMVA2OogzOs
LLXAOcVbvZIOjUznWLbSDy0dE068EhELEYkOc6w7xtW2AJrYrPREA4ximOhE5a1kRW1lLAJapERX
Jbtl5S8KKVFIP4iMK5sR9Ly8Axgdu9ZKbixXhmMqNpBdVq5jOFEmWEmPPzYj/92VrSCE/7wru0Bw
Fb79+5Zs/am/tmRkomCsxOdj/EDzsFv7abCUsFEyyDHk6Dgm1fcGS+UP+kBAgjVkeQQ2rXqZn1sy
hdoeZT0TL+Q/r+1RR/ywJUMjq/D7LbZlWGek1QD6/rhY65DeR0MMzhuylAFRZanlSL0VHISpFg+F
0Q6U3cS5R/od7YkHeTRDdjWVkbwqgybBBYRas9WjDKRPraBtE6u68ib8B6Ej61F5FzYD/kV4xODI
C1zMtpDEOj63CjUbHJr4revFgHWi0PD9t0MJ54/MNGzoftTHSQ1PrZVXVYI6+HWTWPp+NphQrHSG
nNKzb0zjinZ6gmCU3K3mu2CGE/5F9LNaHFAKkvFqk6Bm6/NK8FMSy8+IxbaRDM428QT7rJcuqqU8
tNhzlmW8lJQFNbC1RRV5Bllth6hqN8UBENiVurtIgkZ830AgbqtGZ5WKc6QSTgnipasqMA8dy7ej
h9AeaLhJZwVEL0cWxtSb9SSxG87/LkWzi6lrL4QULdAYAnWbVSANJVMnQZ74UjOmusqJlbn5nird
dZyJ1xSOc0SPWVechJqZTVHZ5daVH5K08lDGAA+IYAuw1ZwPakblpIy+Q38H4VcZbP5ALRNYDpRB
ySG2aKNfmZjwDRS0btPkm6Lm61aZDqcW5VpAsq4rS2SkDeEItaACxq9ord8R+QB+fw19XKV5M8Uz
i4m3kpniY8JLF8UfdHxSc1+pty31UJziJEJhH/ehU8Y4P3LqMgsLLL6DRw1SOdYJwULQVaAfdVpk
95t3r+JvCiG/njXo3fHCIVulhqpTIoDg+uvATsRoFHEYJEcZHbCvkMj3HM3cp3FOCYz47/z3w5m4
thz/8/x3Xn4rX38z/fFDf01/FqRUzHhMVxSjUED9Pf3JpE9pBmp35h19TYv660RK/wKROhbGHyHf
isGj/buzwXRItgyNchG8EZ2vf9DZUH/tk3EeXc+gvFSSBMGG87L86xipy1rtzIhc6Brgrrmt05E9
tWZcSECwsSuFQiAsXlqVo05yAO5sywXmrwZY+KaO6riYS931iOfH+j6a7bYRCiV4rtI8QZI4Fplw
4Eu3wV4iXkDywkUQwpOaFjFBprUaQSaREHj3kD+0hQjOjGREav5GYaxRCrOuQ/zvFIuQjmbuDZqa
pHNGWwJQMJBkiYabeyLYeluHDZXTIm/BldZj1lywBQKD1SvzaHihKZYwpU3dFZeuF940YhT+fM3+
u/RLnw79w1tT/PvIX3/mr5Fv/KFLuqpS5/jpqv258MvkIK3NvNUOqwP+Y9j9rMVoIAZNCU+DaCI7
WJGAP4e+ooIYtKif/JWu9k+G/nqNdyW9VY2omxRqeTfBtOOS+TA9GlIVimQuovonKQQsdtxwTsOl
yAKlWhtjMJ/bIBz9uiJ9Bu5fogoEp5v9bLlGLCePsUxeNQnEZV/v1Lhldk/wGokep7jeANreNOOJ
pvyx7Yd68QSdcgjTf3GZg719FCJrvCRNMsQYFci8Gnhb8eoVZRa7sroQ40K9JnTr1QVC0rKQcx6T
iDVuH/HPJpRIJjb70+Iqvd7GLXuHKZb2eQ5u/zpcZtTkMTRC2etoooCSJyM5NgrEg0Onu8D8kw3h
jrU31vCXhlSXvHEiOFgEq38HEKCX8KXN+uIpbY+vYJYtoC5Zr+j1eWWs00GhVkLLNmfRz/sZlo9b
yaV+Het6s+YdVImnE265kaoo7a5RwVB1AKOUXUzshuRNbfBn0nzLh2VULUgUnMgSdi5RaezqTFJE
778L04+FSfx0Y+4T/1L8rlb6fmNu/oHFCmcm1dJ/ud7fvZ+8aKxLoi7yN9bd98/30/iDPxvQUn7s
vX+UUX9uzLU/6OAj42JNo5NNoOI/ej9/84KCULE4A/B2UnJXPvRx0px8p6kLjCM0w33Y1UNx3o3y
jIshH6qKPXLcLxtzbHG6Rnk43ZVWRKRfaRUEBHVJ9Dgp7TXByLMboUxxxq7fwIxwaZDRMhQLGdAD
e77SSl6U1T6lFFrswR0jDZXMUjLcOhqYwiMpvFcklt2PfSmllx2RYdekSW2tcWKsB1i0OGKHYiwc
06AwR9hcNelYQvg4Q/c5BUEU66com42TVph0QVWIl4qtY24pXQ2EUnGjGwJJyBQQRq+dpKAj6r2N
4rueChnJ5+l4n8pWRD5bWm7jKElmamPNOTHO+7HXrrRQnYncKe7EZeVOETpURtWrvNLFCY0EZ0II
ZLPanSXlJVrjbBtBPeq9DDB8uuujWHMUKrXCILhCztk8XKHaaoU90pxHUL+FoXqSGt3DcDZp4KZg
jrXr1BwvkqQCFirE32TLuMl79U1Uk9hrc26KZnaXBv5iDto47SHGESmEe/ppVkIKWGO8FReap/Xa
A88z84ZXXvbLAqhUQVS6PSXyFvSSXQxD4+ZjvFMinPxaHhnkQrEFaMFPeVhcSN0W571SyZeB3OfO
okRgPFR5W6Z0gGUTW4s1T/JuHvALC734TSwt1+zbnBhyDduO0W7ywnrGrnMA3nRoFTimsUn4lLJY
19iJB8eC/DQFwjfNWvxMnHZVUB3DBjQepha3ahZ9iy4WbXpQfe9KWqZwwFK7F/LXMbIm2CjFA0O6
A5owcDZca/IMr0tV4tjRmYCwtESgoBucMgt9Q0jSRBhJV0El0Eyi1GWLU6M5BMq1DuPNjbTyoU9k
XGdht+94gl3b+1DiWFA0nLi6WIOXK/CZDfPFVGv3UtsdrS6+SboydWKxvcvD6GqNWXYrscfLrgs7
qimKPUTN1WwEN+RnXS41zif8aJULXCu0rTieXakJTn2w4C0KBMA6wmtTC5ErqlW6mTWqR4tkZc7Y
A9EJtRbQjoi/SZ2XPaCsi4RgcL80tREHbqE4OUc3tnzjGYvfN2I8oWOZGejc+FxPsKTGonEg+HKl
AZIUPAPTlXgBXFVKnhuxGv3Z6i6sRn0YhEh0eNUHO5lz3Yl65Xs+9xh5q/KqXyqng5uwrMGchjEt
NqnNEKPT4VYel2IrqIzOYK21tln8ls3yQtXKeNBG7VpGXLAbSmhwWSPv6N/gFDZNTsHk7+mEVjhi
rqr+WCcXcai7upBe5dlwDCPG9hgZIBaT1Itz6ySHBTa9jEI/4DskI80023Wh34wSNCOxEb8Hsvok
KtmrqGi7elQowIVgCwNBflNb4a5NDMvJ8/wuHzvZk63+ep47aRPr+WM5qwdNKGdtWCGrINsMddIv
lcSsDGi+IubuqH4B4UiujIa5d43V6bX6XBcgzy0pbY9heWkU+bE2LWVribBaK8s4Lf1QuGYXAX9v
yM8jBQK2WzTDRwtY343uOiowqZqVmG1nsZzt3kgT5lrlCVP5dZevR0myjn32QaNLnnniJlVVENQi
onoHeYjc4m1Y2C8VGiXfRB7cISiNbZoWljMIamaj0QOVCxuN5KTxFc0LGtJWVbZiMGrHeNJQDbY1
jktBjlxFrq/GgsribJJCIJG4ncbFxHOKyaJRZjfWktmdk6g6z41xN+fBE94wtJACJD/ZIJRvUhit
VZO86hwwiFxMFk8rAj9UlRlTZFPvykr1UyILsBHqmW+adGSYD5dNkdRPjakRGS8QcQZkj1r6ZSTE
Oj672CL/ZGXuYcb3J6HAZkCu1KVeyJVv1NKuDpUzGFXkLOSJuaGBRV4SkZ1OMMzzPur7bykxQX5U
dcperhQiESDMA4YNi21UFPDpxpxnM86CDxSQ3F12V3ZILr2tdcOOoHVkMZKJe14j6zuz9oG1HIR4
yXEr0ngI0uWSgGyXTM1rUzD0s6WlBRP15DdQmD9BsbgpZBRBK37FpxgV230kNFgEu1fMuKQwIrzd
TCbKslnCDkk8DuTMLDp1MUK4YBHdlMLLpqqWA3ztMwKWXBjBpwHslKcktQhqmj5YbDRHS0teTSI3
sjagU2gA7tR1QSOdSiPNxpw9QEzoQZYa4Zc43kl9+lymwilr4uuUNCVHRP7gJQ2ozkat3jLwxWEu
qn7HydJtYpVfSUCjO2agT2LaIkMfHwOrJw5CEgd3rJvAKYP0UOBp3CZTEt7VUUYoUvAI34KeAq+u
kSE7z7tHTRFsLeqO1Q+ZUpe/BppseZKFZsjKs7u+NBHhxYiQZEG4XMRKdIUsPpfAfBGilB4yEGWO
ypqqCQMTmCS9TRyJjT44M4M5B2Y576FOgwxNBap1xX0+w/YsZE6tc56T3qQ6PNB93UoHLcu/CZX5
fZzo6+i0Nota2AZt8oYqz2/7stu0RuW1Ff93LIU7MRHPlvCQ42pteoN0hPTZ6pMX8t2daoAAlzTG
jkzSddSYodPqzX5pR1oqKY8n57if0JOdFsYzhkPqkLL6poilYqNPvKaIyV9mAh9ywvaaTLJVsaRR
ymu3Yef2xA5sF09ESrPTQUym7xcNOGhfxRd6jaTWGu8lhV9eTSXUuOSQ0k7eKHn3qpKjEhowKCuS
CkQjJ62huJMUFjyLc4oG+cOdTeWI5Ou2GUf6RK0IjbWqT1VsnZEsjbxRr696oRlpm2sScr18Q7Ah
DSOZ44c05ji0YavALgt90lhpyi4o7wh5uc6Hmq9m4j+O2HfaZhZDZVPW3UOzM5RoP87Jd1AqsR+O
5sUsJZty2bQWkWbmppkLV5rOTCG9ibK1KKyquYM+dZMkK7LWYCOjLC+KOfr6GL6Yenymyj347ACU
a1vVzyRtETgpj4nGQjw0B16fm3DmMEdj5U6qDGgvkOXaxjO3SphtZYqvQ5e6galUl4Xe5ORdFbFO
vISqSQJwnbIUHQLO2maPGG/MaUiPGMz9MhuE+XLm6RSiFguuGiDrChdjjF3TSuHr0p6bUoG3TWg2
i4VbpSkFXzASKPipMPqxWroqeAQ3GMoHSscc+MyhpjEXSl4mJ7dKU1yPqj75yKy+10lzD/4ERz8b
LyGI8bBp1i4y1GfiwE9TbAHvNsDDRnEHNNbgDcFPDl9vHCQbKufEcrLSd0QWtpYljee3Pjv25r0F
fd2KzuoGMkNWqe7UGcehiy9gI52trEQM+cmzZM1ua6lnpJmzuymrF9YWgn8zcKyFedvGsbqnuv62
BNBHlkQEpjCYIEb6EzxVss0jMOccJWz2NaOrB8W3Zsy3CuHdjgaS3a9b/UytsysZc2zRGYOj5eW4
Zd49s6BkGbPGYkes7LYfeKMTmQuSGOekatbaLfCfpl10qr3JppLZ7VpS+pTWsaNGFyk0oQTf/Tgp
O60hGMsywUcAs0M70F3kWvKNCGO0TBIRRnN8LEPxqFmznxXDUZUvdHrowlJTuhbC/SCW9+kY7roo
fuyM7raySvR7OILNZjPpxmr3ddj3HudafoorcspbgZkxD3fLbCy7pM+e+IC30dpzM9gLelFXQQnM
hScVR9Z9vgzgVerkACq3dNshKaHyLefjMBMho0sP1SAiKEwvqfU9p5VJLFILM2i2HjOtPIuV6D4f
ESf890D/54Ge8+1/rjRvsrfiN/U2kR/6WW+jnGxqNMUoDhPA8eNk/td5Xv4D063KPyjZZcRRf5/n
EUyJInz9n+Knv0X0ikWjTeZ38R+kf6gp/8l5nsrfx4IbxW5EVPxO0wTvwq/7pdFGUcig2mtaF3Le
wKXSpKWCILomLihCEcn4z/M2eEJM0FxCICWfIV+jGhYc93pinTWFlbJcpC8pCoCZzcIg42KfVZWW
b6Vk05pOseyKCZBTP1iXHFO/E34bOyQksBzKG4Fk2rCNOavUG5HEWpPk2qkStkKcvcC1U2AalGdh
Ml6ma9it3jUu572tIcpbkeMuQOTRITBZoFGNtVayjjI7oHiN0AWHlvm9OG9naWjsQpBekpyA8HrQ
do1pPFQk8S7N+Mp8eE5eRgZdhu/2aAG76NYAX9Q4b81suuka7ZsARmU2JO6XWrmPVrdw5EHa1iQC
D2s08NiJBB8oQkPAiFHsRMXk20J5ddtyuadicG6uUcNjgv+sWeOHZUoCkUq4twLavVkjiqUmNLyE
1GKT9GLEY4Nbq9C/JJKNcxKOAbay6y8vpjX6WMgDzc/XOGTi33fjGpBsxaTtSsieXXFUB+KLCVIG
fqa4nH1zh9x7dM3zWuPctcSL0X1Mvs35YNriGs3clAGqJ6TCSjg/k7hCeKQkfe9kYS+R6wwZ8YwS
P8HTa+Tz8CP8eezH/2XvPLYjN7Ku+yr/C0AL3kwzkZZMej/BIllkAAh4H3j6b4PqalVVS91L/1gT
TUr0mYEb556zz3m5FEKrpRp6oiMa3t1HrhXjE3/Ps855mXP3hPzKbjCjYzg9Ugl5Oy6l0w3FLS3A
jaCG1WEWPY8xYFFiVWUgzygz6mRASZKAY5O1vs2JP8S7xPfxilPmEpxMSiCOniyHHU2d5YHfS6Vv
bJ1izzjyg9uIumWWssqA9VeXyAGDo+wdvho7C7N+EjsD5DSGuqIxz70s6x/90vX3lKzqT/8ch1/H
ocnx8dfH4an8M3Vz+Zjvp6Hxe9kgMBzzezjo+2mISdR1DDyYjuF+tRf+cRrSQbx4FVA+/72z+K5u
YmPAT+4HLCy+Sg//lhOUQM+vpyH9RCSKDBObA6fIr6HkduZC0Ds9QD+rmEHqujpBypK6dZs+ATHM
oJkjgCsrDdk845YOBBjWb972G1wBrO47R89Ofp/o1OOZ7M3BZCIEaDbwqt5Ogw0hFO4W1kyf+7Qa
u7QXaJi5VoWzLuzFPoaLoKJIqMGvGQxkLK77FAeSF2t0mHtOgxQ1FY8ccNDruJN3BW3lbTsg4ywJ
kybBlNYLrd1GPaDQwjw1hZttyhwAgNJvCpUsd9OJfF1UnQFbOyvq6NwYpwcS8guqqoxWVcXMXh3o
ToqQfCosQG6aMCMi/2WTR8eOz1mA/gTwYOJw84IrLnR02wtaBPqWg3OiZAbHNhyl3D82hfpmTt0U
Jv3w1E2OhaMwO8sT3QnzUl21ZaG2ozvgFMMKwP277og3zZCTO7KBuirmjXIaQIe6udEheYZpb9Sw
cYZvmj2RwKBlqF8MtXlkfJumqlz3WAJSbG0Am4j4GBlwfs5JSsYfekexC6rHczhjPWa8wcTcYN1q
tr6tvZ4sqARRz2m5ipqoOtgxJJvJLi9Ss7yp6xGOfXUGP3IdT2kBMIosJR3DACHfbIV21QBM6hCO
hkyGREK09VCJI11tkEGxPnIt53LTTTgtslISXvIY7K3ulFMEssXcl57rakYBFI89RZBrcMzJDkti
EmquuGKZivobAD6qu+NA3dqq1ptHAcR1RVv2mVLGbUfbnztlyG+kf2SR3ohiOE8cbv5Q9LjVz8km
clS2qmwt2jcSxLU+BVc6PKKNX1sfZWa0e6MqW2Cn5YVjFN0utvJtYcl7bAwPSztmWdWXWkxMzQsk
ptqMzS4+2W2a5Q8IJ5AgES9061mvoIlx89sNY3Y7SedQiBqLSxTD2fZjZ63I4vNCN+OzqgJ6awV0
cMXj+Fiwjad+qKM+E6XBbu/sFiyXaFB5YvogW2etgRUl0vY2cTtFAR/HNapXxaUdMDTVlKHV9bdo
R5IKYANzmRIH0dqCJzTXUXd+lr54qR3Kl6aE+j9aIhasJAkpW+/vh4QLiCFtioTd+IiZ9qh7wWsx
+2BGBKWMZmnckmnZJo19x4V3p1nl1agnC1fXuqUdhjhErFOOOWloj/Yp8SptbUnAiEn2mNhesSsM
9ZqLedpLJbiUNATdYz9YF5osQiunUgIj8HOK3YXfD60a2US0L6BnEgqcvhP63Jwn1EDnIzfZyMzs
jc+6B9M3WkGrLg3D/mgycNplU19Unndf1lF8bHIr48I9feBGvUm5Ca5cooXoREif7aw+xwG1ipbW
IqThwUaa9/wlrWjsMg9QXpTRjhJJXjqYx1bSgKxeVgndiap01gx2eymmVzfuSOa6RbGZ3OC0yJqG
Zn/IbrLCcsqYKiRgAqeDXK7pn81on6Gn79VcPhcelV6Es7nXsxCgVfBMb+ph608a6cLevbFpODuI
DqfUnC59VWZ6MmR+VHO8o8LwjHDpdUqyMM/SQ9zVt1Fcf4IDpmJ0bM6hxV8uVM4K88TKUtxhdQDv
ZwHnImdjyTs3o8ir7MddKsvHoiTG5o3ICGhgK4cs5mYULJiSYXwIWjysU2qQVMJCinoqWVx11pU1
xux6CpD7PnU9wWTmW6nYxYwfY6NwUTtsXApk4Rh5eFp0YgPBOFuUY+7tD82iJVuIyuQzP+JFZVbS
Q7JHeNbb8h0n3MuMID0synSFRF0tWvXInih0Fv3aWJTsOveuBvQxYWHu1wRqd4bs7SB/86OGYx9f
kjy0t86ikItFK58z79zj4R7GmDL7RU/vgS8d7EViryJygMG8axDf85Fyr2jR46kWKvYMofcQ5ua1
u6j249QMwb8yTP94NAxcC389JVHz91Zm37o/8Wnwcd8nJcLXy57XImnq4k9aSqy+T0qmjXeTUYkN
qGUT0Ma7+a89MA4l22UTvBA7qL8wzB8sSjq57GWu+WN7/DcsSj+72BjS/IWV/mUJIQZOE8bPt8au
VyNRAGe8gsKLoy9VN2X7P4xyvye4f87s6RhA7MAFB8pMtpi0fvSAGtii01S2Fe86cs4tT4CWZGNs
mYV1FS+nxpLDneT1XCaufxHHsffEPcqU177uqDWn8mTShVCt26k81PF0nkScilYC7RfnZT9ba6Wy
q8jRwqzUDqoN9lpd3nY6IU8V432svZspafeRqnl+QeMrEmCOvK+OWjVear58y5R81aIo7KvqkGbp
E9EQRM8kvhRdu/HN7ODFmKKMqflEAd5V4HTDjHsdNhC7X2uMJ0DXxn09oMT1Xnrv4fSy2jU/3pNw
9YMe4EW0jOpYT8UHLqyYHIFNpiT/iACbEz2qulWp49as22ZLx+B51Hlj6BeLl3w0mcQ8/W3hXlvM
lawAi7vBEMfINO+biTuQmXSPMueMjtX43rr2UdlNsa3T6lTE0wjB2uPQSSJnHZXNbZMURCjsstsI
ZZ1yQcqpa63rbKRncR76Jy21aKjwpg0qR77yze4z9RjA/MQsMXSWV0Vpn3ljY2Ogh26eyTrduzrk
UjYsYj2lfbFJKpOzfvABelfzo5GX7JhZL5e9duOMGukMM7sb84Ch2JfPWs1D1ByrQ0CNykXWjcaa
BM2RjilGT6MGJu2Lc9G9Q37ZBj0Kej6aa3uq0bGz4jGaB5qNap+1nDCOjd83YTd4Ozjh7wD+YJGo
5qz37He/zePQT5NPP0dkFLY/g84M7ohHfdrJuAbN/pHUrFKNFpqj2cSo0P66FPnVYLZvRprq62bB
PxPJP4CQZW86dNvEX7JVFklbu+3Gja3p0KKL/opMwP0g+natZR3VhXGzbPhvxdTVYQlPal1EJD8w
L20GdIJ5ucMGfnprUqpImgLhOBgepY6umSj3M02DF8eQS5sw2WBrktQAA0Q9FTldSCJNqjXnyr1Q
9W1hO9UxlhQFZB49T2U88mKdXoY0W8ikNTXQI78Pz2OAciNy4qgcQ1p82MbobodGv5ciQ82loHjS
KOcYBCOtp312mv+s0Xa3cmW8BlSDd2OKyKlsPJpfcT9ZSh6qr4TxaDdAvit+GwGogvrOESPsVhe0
aRVk8l7qVnBw5im9cq3xrq5NburVB47CQ7JUPWVl9c3o6sUznAjSFewc5Uhva5Okj7bdhZkbZexV
HopgM+1UrNLzvETV17Sbpk+DRY8BtR9GOSWoA5RPzcPg3QRcItoM+j6Lr7WwKtLb1smmcxbFCliL
164r3ptLlfVFW3pPse98JPrEhJwxbNjM8zmU1CFWZ4h+ryBgzsYuoSe8fxZc/5Yz56YpjA3t2jel
YR1GQ7tRygtdTTyYEna/7+B/0c+CEUem51+pPD7NbbedsQFEgfqGpA1B3EtDSd/DJo+0taT12msb
mq7YhTbVcOFRotnUElovyTi8JCNeGpYZqa+x0dYuVdc85EkgN5HZfrRdvDXr6VFrP5yeV+LgelvL
Tr18HdHaSVQtGpH60l5p2kYflPfgiWHa1XVjrlNBybnjV111IS3rKS9tCrTneuMNhaARJ+XcWsnS
rtQqd2Zr1ykc536GeuVb+YOE6Nx049M4Zg9trT2TgbOu9d6Zr3jg1dsmq19rk56uxvo2Rf5lPYO9
ygIRFjm7PofNaJjUA8SeNEu2+ZwHd3buq5PI49tEiDc8Gdp6lMD6G+R0JLmOYHnBNt7u4ufC5K84
xndQ6dIwsLRjP7RPvVHOLGO59EQLLKDi+1sNCc+edSA5A3otc8MWn+2l1vnanZuy2FYqGDeiKVk2
NHb7GAVtH9qdl+95N/thnXWh7Q7DfjC6ccf+rqTmuFS7sdBjNDGKhUXHHMai0tmPlCktw9aVI7sb
3PuLhL/jdsJIr0XvSYnTZnaNOwTJp8aYboXTuAdAHk/lUrwB+za6+GEW+RN/OsPDDwbMJViuw0/w
lycuc7+zSNk/PnTdrK8wJNf9VenT9G1cpv6dy3ftoKnCJf3vX+vnKWL5WujhrmEZ5D88LGqLNv0D
x6pty6kzGTuvfEoh5UOtAHj/j4z4//oSy7//8CXGrM6ysc/Gq4o3piKyGw8vdnX7//FzBNzHPCY2
PNu/fJE2powq5VZ6ZTV3Newi7UIbDv/9S/znn4Vf1Q9fYuEO/PBzdOy5BfUn45Xt3+b1ds4pLxwv
C+81Vf/jK+E9/OUF8PNXWr6TH74Sl0kndzt+mBqNwSgw9JjHPme9tBny4wzG6r//YP8JTDC4sZqO
bem0veF7/PnL0ehHi0lnjOjET8bCKHbvRHym8n8U2d+BTQbhgb++axzy6qNJXrM/uWvwcd/vGgYX
ioXKQUTzaw/F+/D7XcNw6dQjmc9hQBkDubB/3zUsLij0L+kM/3wgnGROiu+qrInHHCWVrAS3BBwp
f8tziof1p5ckJHvLwZROFIJTabl2/HJOeHHdFJNWq9NkVZWxNaTue9ie0TQ+dcqBHEatTu94ult4
1uY9hTlyLBiXU04w15Y3kckm2ScBum+MwVMryzXfhc7auwyiV9hMtzKSOaWW8Hnq2TW3lmMI5l29
PZWu+xlXPk9cmj54N7QJ+a8eEaFNGuSP0VvhwXDOqfDMD1qRdYz7OKnUmvLYeJ2mormodANTHwYJ
3H3yjFRlEbbVqLbQoKgerRG6MrhHazBL+BXx1l7YgzpKhzLZskPmSDK5lVrA3pkVnM9s7VJyKUni
T4GH/6rjMVwz460NieRaTzwRKeMFw2Nrzxmnd+VOxdGL+zvDpYEkynER4FaoyIEp7aJJ3XfyIGTX
S8/Y0Zf3OafpC5YEEr32YORw6qlnr+xU3ePEibDOxXAGLfYucfrRidl8ZuzFpYhvlpRVVodemxFF
ZsdC33lQBGdEm42NO+ra0a4m/dyhuGiXgGBC2+vd88bzrn2Klm65CR3GWN1plVOsSrugftUvrz0X
kQpsFP3quk1tYsktbpa4Q2x9ZJOHn/7ciHs0F9XEDkB3gR1Ut+RZFymj24lcU4zJc9O4zWXM324w
cQifFHB/zKfCiLAzpnymYO0HGh3mflDjiWW/5ByqTpl3Gv0rycEc5HxshiK4TIhA16ty9rFtBPwS
ossABwcOChmg1wTy3MTMCo5+vqW60JjCrzftP0qJg6zx16fXXZ+9Nh//eXYtH/Xvs8v7DRmCZwdY
nyXIxQH177OLInAs9GCtAxY1HEV/nF3ub+RfPGQvhzX70gX+x9lF1IU8C0tx4COwtznx/oZOQiX5
L2cXX5hjE7jIcnjypPtlNhBRrddFXvYXc4ajeEr6l0bhnZKyoyF5yELVZI+kp5M14uUpafwxdIyx
pWZzuKK+7YAxD36mY/Kqo7uBK+5Z3KcnbCIM9nQg6rr8xuZHrrVyoLhBG5ndR/NUzmgWke6Kdd5W
l8WkP46z+2K29lNQkzD1QUhto68CUDBuGVvcTT3G8YrJeeUJjNPkKx8cv3ipVHk/xATBy66lZsV1
acvuWOcXj12gPUaFQuj04NAmp0HG512ZvLSlj0MTG2tjOe8M7f4m5wcDaZW4O9MsYY+Wz7Q4Uo+R
WjOfFuZVnY17PxjvlQmTXnTj1rbnLjRTes3tkSi71PxvNVNJCJL4vO0QAooZUKRwNo70b3B7fqvb
4Cpx0ErNGlCaLkDuReN44VfDE9b0d3AJz1FtXrJuerfJO6972XBjLEZv3+JyE1WAix95KRUvmUlp
V5X5rK9cLlFjVb6PRnCSmupCrIEjyVJK35SNsZQ7CO1rhnfetTTK2RENBFk4J3g8IWxt9WY8iiDY
C9O5UfPwmdjph5c3d1YidpE1P7ERoGvV45vkjxToLLnGEXHY1Fm3mFPtXrsUKeBa/8zSoATgpe9K
SqNZdwHuynXz0RbOjd2piOYTeWcL87OnQfWgiCavTPqntrbVP+Vav2/JHmB/dbd9RwUZVajpjuaW
59JO5das+gszdjA8Sy+jXgY9mufGyp3lVicxtIK8uKs72GJCVgNBQ/5qOfP6Gr5W+JVrWPgfbtK2
u6hlPRblNfOhFIBvSE0543zj0SEzFs62r+16jbPe5zMhxevdhMdvbqnY6HnFOd6orf2ZF7Fq+Rvm
ZiU2YzPfEpPiqxb+VkTDNtL729m3jjj6rZVnZqyB6kiEAD5w//fyvSunJx+FjvmxetMN/FZFSS3v
OLFm1ZO9W3MpLLV4r9MbH2oeODhdL3eu0neGnvQsabVg38Ujs8Hgf7DzOvenkrJwmk43FLkdXKEU
64mh2Ih8YsnioKSxmOPVSKjD6t7aPqgwk2OHtedqvson1zyzCVCE7Dzhf2VfcRGmkkdiEM2wab7i
JPwaiJaYnSeYU1jYbd2v8In3FUSh0YS1IdaUpeEGCeoKEYfYiqqT+MqqJ/FMQ9aGflh2snZsRxcV
N9e0c2mrRsHXHbFH2Be3ca1rPOyd6VrPtCMPvcTaTN4A2gWrP5WtvtvWh56cvQvAZuoSnrVWloet
AuMxZtcl+irGnNQyn+So68kpo1iRcyaLjRAj27su+p6NpasgU+AlXVSeSNpOvUkS0xN3+lc4zowG
AX/emjGM13ruRi+MN6zKdJNMzooO875a//O4/LJf2Nye/vpxeVtmr39mwFg+6vvjEjsarC3DcD2X
SxeeiT8elybF2rrrU6nqMtfzDPzjcQlvi/+V+zr8VmrAFlHg+6jv/0bamQcpV3jTw8P290b9r+ve
H5o/+U/PW/LxdMRyitDi/cs91/bztLF7k81mo/e0QrptGZaZbR7V0oDMZOdt/W7QT6NioTkQjAyN
pTPZC0aCEXqZ7UDCJeSHymjjaV2DvaiOWXPrF1kWB0ChjOiclnC8bGTYWIEyWsJJBamjl9W01/zg
OJkzINCO0jujsuQ7EJZix90+wo7AM7ep2uklj2NxLOuYMMvCYzIRl1YtyJ+1atRDYNbrOLNeVZR7
x55r0pYo0nhWsNbfkPKkGacLovWU6ZfS6mmFSKSEtVKz10AM4mKCqB9YHYdkOne0v6XpR0X4x77u
ijys51l8Ygl+jicRbfDPrlFCj2lJ/yX6gzyYpLigi3nmlTAEjz51THqr2dpVce2UdMYleqftOlfM
4Mp660hltbfJrOzMoFPrkHR2EOpxbO9kVtibwTQjqsdwiSWO4AGX43OIyuF6bnBAVFmbrah5nMHY
OptU+iVul+AitajkGhS/Ha3X4psEmkaYJ4Zx2bYmNgEPyb6O22Nvpi915eHpAh2B7dtNNxSoHWNR
z91iAqEgezQaoggSLnU97mE2IN00rAqcYZd3CNpq7qvXoRTpaersD02WOicLhvKczVjIlWYtU3HL
Zu069zCmyGnamUP2YKZjF5xjpoAAYWaXQ21clab/oIvWo9QtOVQ8ZSeTp6BX4wes+DquS2YuG2xx
alsH+0ORE0szPhyn7OlmG2+HWKarllvCWupY6fJcv/REACqu3HHGnqdTcKpGfRcbPXaTTBhrN+II
j9ItccfLfOZxhW94G9jLtttRJ0dVYSW1e8grjBKTfUYTK//SE5sxG5JERh0Gsf+OUYfbmrqvAy6s
U1Th51kgTFiLVH5RSwcrh2m5/Tsri4ZUAPbnbUQDePDVBQ6RV54bPA972sUoC6+W2nDPaKZzsVSJ
/3MQfx3EBhLEXx/EZ0kh2v+8tiwf9P0cxu3GKtYhbm+4JNkWSeP7tYUYPi08WHIX1A6yzB/HsPsb
d5XldPShkP2Opvh+DC+3Fm4snomE46HX/C1X8FfX4k+ncLA8AQBrc7N2qd7+dfMaWQzmledcxLNm
NfdML1mOrV7lRhjHGhOAj5k1ObW+tJ6q32cEpgVdsxhll/mh+Zoluq+5Qn3NGHnZMDf/Pnk4LcH5
FgLFCP4kZndSzvK6JM5bEesFQPYyjbQlQwi6UG5Rh/aSAZ69iTxmHb/RouausGCY5KnYiSrmm4kQ
MctSuc5NqcKRgHFsRE/VV+S45BxVmLKWKLLMeGfkSz55cBrSiWHMZ3XXZa+64mRryt0rMHcJnb7w
4bJxo3eAt6NiqN6ojnwRQ+quOzeP1kZVbNuJHSDGun2davskYQs1NcWbbsGLyQC6hWRf7hOhvZun
qlCn0gaSR9ybBSRXlyiL7ozav87p7wvUsEvna6Nz78ehfaQ9eGOTewt+r1P8R0BY6jj++o14/ir/
RD5YPub7+5Chx8J5wDXfxwjPKPPD+9D6jfclbyhsogtl9Id5CGEBcwWGVI9/1L/eo9/fiP5vLn4F
2BWewTtnCen/DfnA+qXqY5mHOAN4N1KBqev4Jn+RxxH9oC/UhXMph0ycaSKvo9tpkgVFSWYid6Nt
0wnqwSas2R0CfssOdsNSeulg3suIPXquTMT7UUdCTDNf3049Fjgbo9LKIj3mO5gMxpRLmaRPXAtS
5+TNsLCZT6i2hNbIomobzP6Hk1IBOSii+lFkz5jKY3FWTONZWmRbzR8oJTfT/qYbWjSzyX3JpoAb
WhrTWk5aK9PL/cwydTTFTW0Ufai7ag5bk81vkTf7bjYugjb4ILl/nVj+JbXMB3ZTt4S/d1rZPmnC
r86KqDyrY8D0sZ0caJ1/yjqx9rX4Njede5H40wrlmBpkaVW3RiueySceLL/apHr0TMj0lVZYg6BR
TT1XN4yw6IHa4M+jUo8tetMQ9PLK4Ky2WKfLxsSEn13UBKtIsolTnduvTdxddiAtO37RJEvL9VyO
I9VL1TH3pLfOy27vBP4yJRIqMvHkzwV8UpJZXmXhdfTUcY60J7+Jr9Vog/nv0kMvMLjVXjtzCnAM
+ksA2IggKYzl3hzrZwyDO1kStnSsZt4KlcGHr+L3Nkd4UJXhhFgLd+Bfj/ToWLvcNy+KyjbDscso
+8LzWkWxvbGaz55r7t6VbrDhAoiSzPWdlN2nNuGIpJb3sl7IPFRgg0j36ju/8aEPUEoKsvU6g+se
DNzDbRBoaVd5a0cUlMfqQr1gzz36wv7mOa2FnzIF0FbOz3ZTHSEgvEz6fF2zLkUNfR4rQrFNB/4r
twmgjxKUIgSs3FN72U4BEVKDFqN+/Jj8gECt4SCsVmKbmv27ihFdwD9vvUG+K8gxJcnJBeCZuO3b
wGLpfHIchN58sfd3mIiycFxM//z80ADUkgSInIRUwEC8hTY330PeyjkNQtzfWAOwS6IwLb/xGZPf
KongVRddsg00nOCrSFKDDrki3qtBv5x5M1wrP/V2SFLQF/EFrHhUHS0rtdaEJ1dWzccgAWmXqWDu
9Ca93Fi82laNU1O5Kw1FWsFKpgM+CWdFb3dy9P1p3nmDM24IsXYYj8j568OwHUm6+rq4JJzMmtc0
TlZfF9SQBtcEdkTYZulF7WLaNo3H0XfUbWNo8rkwUpzGNWRGCwnaiJpq43e8IBvXkuQF8WzbAGNx
aFsYi3jP+vjIdrkZaKFXQN83RtqXMQ+CxqfJztPUSZokugMcHj3aPy3nWB/MpH1rem1nwHlYDVZz
KNzewprlHzXG1iP+bp9m99RY4pzNiwm2Z+XA4Nj0YkAcWR6UReyR9c2bakubM5iIbqZE1jCf0jyP
tkHL/zs2o78rZth5UiIhlTkAzFZLdbg4dYkldPn7Ri4lynZ0VgfxLkPsS3hHrUdqOVJudwg5M0lK
6nZEeWYo6mJzShrLgAxgOjcnFpG0YMbkti2/5y9ELxj53C14ErXNCyoHnYSS9sWsCSzhzBcM4WOl
7xJHPhMR3fVaezvLYcB5id8+xjdaGPLU9g3Jpz6P18Srd1FV7d2+/cSmuQAEyz4E6sobFlHRPPlT
fpe3aXYexMNVwW+UrQd40bwEkixgBjtp98josx3t6gyz5sdUmgZ+l/zYyXHaCGPaeWT9/xnVv0Z1
iwX2X08It6/F/zuWr3Wf/EmOb/nQfw8K+m+IuexCXZO83pfp8t8DO5oK87jHnjJAPFnUke9cHmA+
fBPkSHh8/0tu+T4okFzxmf2/PtnSef635oQvq8RPE/vSkc2wjjWTYYXd5M9rdCJ++TTZqrlUGsDD
amWSlIC6Ckf64PZxcZnY7imJvfjCdXhxzq5zXSsZQKbWb6zIvpFN/1HCyFxNU3ygbf0MggYQ9P5c
muZaG+ZjVjAsFEY4m163HuzpTVXWOb0kGI36/MK0/W0kvPM21ral0q7dNL73VPHoTCAKovrDt31S
Zf4qU8VBEhKIYc4BwyFo68cP7EPW5DCulcwuehLDnOoXaJQUNLjTuevPO6ehMzkR9w7mQY2faJM1
41uQdKco4E3bWC8Es3dD1x2LyN3Cpjsb7PoiiuOLoJwYXuy1wK6F6LCyyvrUTOYjF7N9bDB0KLVC
PLhMjfSi1IzN0AMCoEsn1odnMnVXcdyfqF1ZD6W/s0dOisy9aEy6KoLPtgnMTZ7S/8I++DgH/mvE
Mjhx7Udy5wetDcLBabFkzzstTWm5hghTNbeqBVgdTcklCbe9xK5ppO690+b7WbU3ud+9FSZlPH5x
EUf1+eBiJ1p6hhq177EkeaJaxB8iGogJUXCwhH3jLYeYr1X7zqMHzs5GKrg9bWWo+qyO5KtV2jdB
hYUDQuoq673LXuvOYVWEsxgODW0wrafdpMF0MPTowc7VPYPExi0SYwXIBikXw2kc6fXay+tT4mdL
hr6erjPVRyGe21dvCChPq6edXzn9WkzVo2lW8Qri0JsfpdZzGfHMWdhUctNimEIcbv0m3adBER+6
smlo85ln7nWp7RbWbmgKnrsGifhhag+AVdh51H220vzqRpZddSRuP6zbGoCnAZPsNDkz8BJoAGQm
CE7AKDBDVivpjWmYO2liGHY6sU9pR1quij5SIIRY4BrzmhEUEbsiwtP5eor5luZowuhO2LrqNrFV
HXYB/PzIIngx9121JgADG1a09z5Gg410e5KymXmd+Ag2c/o5OoAWAm3ZGkfvpW9BarIvZ/jmdiMv
6laOoRyxfGbRRzLbJ5/TXRv5uFPTs23i/+3XddVLbAkCYk15bZbkavqO7PxAcjtyXFzFMTfItLLf
BAkymP6FYjdRQ9+3g4ukIQ/uTem3QIPaONgAW4YhrkNp+h/stl4KZd5TXfXB9x+vulJv8T1bWWhV
7Mri3KpC7gCkdWUE2YUwepU1ISSJyyHOj34+PtiT+mRDwHPVP5L+INmi9ZtExA8JZGsQHPWFisZ6
C0yIBWKvuacyi26ZmcAbBHLBlC85VBsb22gUT2M681uuIWmUaIb6NDYQWUWxTeV0iLRsl8L2xw06
PGNyhSfZTZc4Ot7iYXqb2KvTQQDXCBQsQin7QC/O9sJng2TW5tavGI9ry9xFpfnU1WReOKooWHAO
CcbaVe8mT0pYfHLNRtSt89CFcxf03ZuGAbg1gQFPESpiET3CxCKLQ9phNnsa6KkgsHoNA3GHZDY3
1R0tA6zuUqWIvvB3n6LoyVp2qVEVeby+rC0sEcgCwcjbNJGKmlvemkw0Ld8eaCTdnHZDxLTY87QH
iI3jOK8PSTK7fG/DsaKNYMq5kKFxYvLGJBrrF3E3PBS6fuxGH6q9Bl840bjG9fp0LmP9dhTdmVPE
d4YiTYJMERZNCpPIBnfkTto5WCdjVSh5z93JgS4CnijzcIzfxjF9Yc3Yipj9MQBv8nfUNaZDfLAZ
gcFp2KtC5xKmz4qSp4Jxk6LTkiukeWyluq4WuqdnTNk1Hb/JPzucfxm2/usO5/y1bT/+ZBQxftjh
oB0uhgbXosqI0X/ZofwwimCEwAmEHwsWNzLg91GEaAgSx4IW1AmPYJ1Gzvg+igS/Mbu4fEaEi9/d
EH9DswBB8IvlgYojvjH+a+q2bkMq+HkW4Sk6aaiC46VCi/M28RBBmQYxpEKhkhhcSXTWzVJYG8Wk
IR+M3iArD3k06Q7VDHp5GlhBn//+xEgR5GHdjlVR0lRRQOx9n7Bd4ZqqmmjedKLhyiWmZj998W4D
fWHfqrYlE9ElCxM3UvMchNnvsNz4i5xbu8KcKTT5wurOJbbKldeLydjkJqHDje0ZoAIWwEvY9dLY
9bqk3YFD1nbuM4P+ki2dBQdIo1yACtfu9pU2qP1kqZ4ngeVPW5H6sD6ESDFp0iFDyBF41FGL/Owt
gTIQBpSdaStVqWGjZY2LhYzTKogR8/Vcw2NP5PWN6YHekDnHO01+OOayKOydo+JPd9RYNBT+J8qL
vSInl2+8in8D4s10NPQQRrxyPIsF/CB/ueSJJDc5Scn9Z5CA3+hnlNwaOwnKj8XFqtGBEfWL4Q3i
ur73GxtdJAIdYrAgxgtQimPVaNmVvaQ8s8kIeNgXH9KbnZ2VWWIDZ8DetWWXbPSWDhspPMiGTp9d
SZ08Qx1AwKsGc5XX9bjxNbpNhG99xK1W7tFgeVkQySPbbwNoLAWOGFd740kk9u7/sXcmy5Eb2bb9
lWt3jmeAA3AA1+wNXgDRRzAY7MkJjGQy0fc9vv4tpExSSqrSNc1rUo1SbJKMgPvZZ++157QDz87F
KwSfbg2+vy2hH1M7gBDlDTUulrQV1rYosubgmCprOCWMz3zPJEcLWRyWEzfqYohXlOEtHoPp6jg+
fgSnyNbNUuVSDBlQrJqr6dD5sGTmmm/T1l/SPBGMYXGwqms46NzrwK1QzLZqS4g7HY7sLYzK6kqE
Ah9aMIBW5AhezZNWcVBPxBuaQqQbsMzjGnI8aDtjhD2vWR3oIyof/DFPdloKlAYcbLb7zxj3Y4wz
eV79+zHugQhS1E5/3bksH/bbCMeCm/FMoyzUEHCGf35u6v9HCmQkUnU/b1x4aOqSWc+iowoh0MHI
+tNDk3+uwkPGdWarpO3+yQBnqXxfP9muEXrhHsB7UaG6gHbB8PrHh6aS4xmpqia7zbXSMM6N6LiP
TQtJgDqgaaCxYxzZV684uT+rPnubCxKxwO3uSXVD+bI+pp6axrKjJopemKqkOLS1UcM6w7pRW2Lz
ClwhFoVc6fFp9J4ZTKQ/StnRihJQAOony62xdWO/uDRT+01ZVp+mM3yDK1ysQzYnncOKE9zacaT1
aKU78Xlhf9VqQWgFdweXFEkM3ufPsGRywUO0qbv6owc/hS1o2qrC/lBGbRMOrcZ9NdhZVnuDlQvS
VBISwK2G18FWHtN2St040e51s30JCCpsHVux0Zt0eQmiaSlocVqeWAkhqSl4J55UbBsTNQaOyxXf
yaWADkU/orhXCemvqGu4jkI9ZKr5ZbTZFmTMe2NER0NgPathe462OGLx4d92dplav3Rsgoux4xKV
BC9FI18cWLRDgaVW/2wc57MWzaWeo2ezGD8T/Aqe0NXZgwF0q/DNIvUNuwx0E2YccmszLaabKYnu
qfO56UrlZtYr341VLHWT4MlnVna2j8lIrUwNcumgGreKOaTHCsr1ikYki6lKO8ahDLax0slNFaTn
sOrUtd2Mj7JRDujE9cqx2oNdwAZQnexSTobjTgkael3mgtD0sLVhRLGT60K3nFKbUtOw9mKVagzZ
+4T2OqEyUfGn1iR2dTA8+ba1SaPuVqrdRS1yxnPFqba1kUM2w4QcJFgNMAWsxha10hhmQv5qvc8U
s3Zrofhb3mi+OxT9UbW4u/Kr4N+sP2KlvuPafjsE6j6IrdGVIt4acfGYtcbOWZTaZJaPLQ42NQue
OFK+sLAQcZpJEZqdXK6nTrixu/kF+GNJl1B5AMvwrHRdQ4J7eFQcJjU+NGXVrlRrvU/uJ0VMa3qQ
yBZqxfesUTI3KsqzMTmXxGD8aeHRruxiOHVjP6xHPF8Xa8gC3iu17cVFJFw/cXZAiul20+vxvfXL
2FOb0oda1yzZvvi5SyjNiR71ljin7UTWmveaZ0Azc23QX9u8YV4zh7rcjZrwXb1QjxAjzkauzF4W
RywKwRYSHA3XU17NniWyGxJ1+WpS2ExGul67YzDv/bF4T8YF36ir94Z+UKbviYrFUwnqu4IuU30a
YzazAB0osOOa9x05Coq3ZXyvZ/WV3cpJHdKbklaupYVvZTZKuJaUb62mrLoLu+Y9ZadDenBvF/OB
luDUrbVR5V7FcG03hlvb03fR1G+BQqKtaK9pqZxbUugbHN3eTCMRrVajCwkkQewdxCruEi4VqJsY
89vv5cLVSFHKPRAi71FVv2HOVVdNoXATKUjPjYMtQcIx0TSmYhMfM1546lYrfGUsnVL52XK1XSGm
RR4P5GOj1OM2aHA5hnN/aH0WOBTQ3slwfI8xqwC6SCBRVk26LoNWcxuDZVkmPSQNyLPheN+aFbW9
cb5OR3IB6AlinedmzZuu4C1hyzOUy3hdjP5NkdI2ZnQ+beRKcM/m61KUzr3jGzt9nGxX5tRA4aIA
EgyIONCqTdDa6QsTVYQNtz8pbBBhBy9vbDN+ppwUv0c/JBseq4hSIvwYc3oQsFJu+iE/8EC/m4yi
32GSGxlJOzYM3JwiKnF7cjPbUIV30jc6txlqe307P4S+NIgApuhu/TUygUWLGN9vpCMWAWha40jl
Y/v+3pSxzYKj+2gKilMcrs4rkYuQgq4Ke+CsfMenwHkR1tEWO/w1n4oPMpfBqkohQ5CuU9x0DABA
+3N+o3KnAxpFWsdmF97SxQxcbqS9UBBIgzEAkoNntlnm6ibGcLQhHfDROdEzHhXDHfx8M3FpZ9cA
GYXjrnYHWqtXLRuljeMIfqZ9xOJOH3ZOYGTsQwwqowsTt5HRP4ZTch04E902Rj2I8BFwsWNZlCoT
LzfbSjw6wXnFpn10KpUZ2cXAKw2xY7nEDW6gsrFTEhS3dtoioXwzC/M2DsqvUePTNUb8QrsFjVQ1
47vs8pMGzvLGMucz5z8jgpXvVE3bt0werjEJkLDUWLxUaZzum7l6ZFNbeWmuPyuIP23UfhuqdOP4
8SOHvQo8hlmZ83/fRMHFiqoHZ052ugJywULdQJsrutVkDDsfRo4FlG1V9AbKQE1btLCsT3CeikdU
lT1vUc44jO07Db/tmt0XM/o85uuypI28Tzt/r9bTu1R4MbRhLzZJYj+MOXd+21cO5CPf2Wt4QcJI
McYlAlvBx1vlbZHAfqScPFizfvss49HAMRy9wtZCKavkrdrJp4JeIb9Mx90c6N9jlSIPvdc6UhM1
FrsxDzfSSrtVK8EAASbm5Rdr7UqLJur8Zu1VNv0Nxc1YOUp+sTW0IC+EP+7FFvqvVOJ3PB1n5JDQ
bcGiusTij1FPZBndZTvNaGSdbqLVqckuDsDfRjaSktoSdK8EyNIirgn3O/a3MFDGVWXTU92zOcei
QWt5QfqzoJyTp6p8zgjSrWjmphC2Uh5YLz7WDlvFPGLbM6SnroFOHnR2C5euqOh9CO9biVLok8zu
UJLcTHUeDTLbAfF3YB7EuDOYr8Q2eT/pZLzHgEWPIPWtcHPiDUkQfCARXpIMH1GkgiUqrpIZr6Q6
uDMp8oHKFaWU36WqPCg6MXNrCZwnTkJbEvFTkYrPnky6w0nOqt/8bEirE/KpvZz8up/ruYdgZhA5
Sp6DLGPmGgno2h17ZCXDO/2hkobnYmAgCIFy0br4UC6Kegk97UZExd5f4vQ2ufqATnrE2/hBq208
fmTvrczBbIOLwAAaO3LnQrRncm7LIl9XS3h/MtmNZUugH4s36d4l5F+Q9rdJ/dv2RG/dAgLgffcd
s2dGvTyQAMowNyrUgJIGT6ocNZbMAAV4LZx1GbXr3KR5okvKe7ngB0wL+kmxIAnIgJ3HBVJQQyvQ
7PYzXvAFGhyDagEaZJ36SF/NYZzSB7EgDwbYB4WlfvQ9XCAb6YCtPYp7ASmhRB3IF3SCOiGwOgtO
oZXxl7PI3T3dqkCsvuYMIu+CYEAS2AuRv0To+C2YhnLhNTTc8qyERx9kMFYAzsAkuvAdKkAPcOK/
y4X8YBXjq55x51u4EBGAiA46oA8wAtnt3QcgEbfdxQAokS1kCYzlG0RoTkq92k0LfAIIxWhiDfTB
UozgKUrD2TvgKqBT37YLvmLhWEx6uA4BWzCCnmoiUh0B/9RUeyS6GFRpFVgAMdJ8li/TD0xGpZg9
/8BkmIXmK93OLJXDf2bQHzOo+Fvp7ua9fP/rALp8zE8DKFlKwyR5tBA8Bercb8IdkUkymPSBkSJG
1PvDDtGWhtBp63FwWf/Q9H4V7mjqM9HXsMLR2YPp6B/NoARu/zyDYr5GudMgQgLUI275xxm05jw2
zF7Ml3Lxk2qi5aBfPKYlZlMtrrY+5lNjcaH6ZfehYkuNJBQPFaNqY/opNynlcUkpQV85mzMYFRNz
K066lkhOdJFRupl8+1ZdfLDR4oitsMYmWGQHrLIFllkb6yyVChcAmzyQ0ADdOuAN2MrhXi6O2xbr
rSJzZC3CFsniyrWWIVVZnLo2lt1p8e5WmHgzRjiVAkCXKPsT/pvbBruvufh+O3JVzknHDExoYeuP
Ce4p07mm2IWDIQEcjH94MmMiLyme4glz8bC4jOfFb5z/cB5jQZ4XL3JuAj7FnJwtLmUuyrWHZTBc
tw53HpdyjUOnBslalARRO2E5XhJWPAPMjVOlHwFRnMVguWLBs8VaESUugZztiB1xY6nh4pDZ1Qta
K2gdVhihVxupthdTcdRVHnEajHayV0QXa5KjfmKdhqSARjXI+0qL5GZiS+Uqec/fwqmNC7GpfT50
KulFnuZmY6Z75OMbmeiunuet27T+WxPYDzHz6z5S9J0x+V8ou1BXjJF4pCQPYsYDV3UMSuC1d0Xo
NyuSq+rDZLMmsUZzn+Vg/42gvNO0dDdCcXRDSiW4WjaVW0SNv5dDz5CpoviVlB1GOcTEOYwm/Deo
mMySn7WW4z+qtN5tlVncORXr4tlM1qEJ1VyhE8pTWk3lorw42SiKyM5ASXKW2xjdApujdADJsy9x
wY2LHa43MMZx5sTblttjtauboPDvbQSGA1HYbyDs8cYw3B3mMoyorK33dRU8NKpc4kliZyj0fFNh
u27Czlz3wGLsPi/g1dc4wbPvxQgQx5iHozr2L2WDsQjK3lMnqngV4SZ0e7986RtbJSc8n7p8POEM
X6ao+ErWoGcjhFdpMM9Q5nhLKE8QbFg0DfMuFlhzZGBcLLqcO1vbmBFu+8aA5sIubRtb4kQPI4sz
p32bS//Sq8mjM7Ipy0x/H4gK9N4E0jvWqmhdx0WzicL83VGTM7ciMgdBuJ6V6rbJBZbV0VhXUWms
s9HcinFs1n1ie0qAzlnT0PXe1yZXQeUVyxDjS2ufdeC5rjbJ5Aqh5Y3j49ho1jdrbo6TWd7MGog3
tptMdeZlBKp+zilxTFVKYUpLHvURaaCGpUtrxB39wczT0YQ76CFR1sZkH8uI1W9Pto2QU43jSnmI
ekujaze92pGlQOGrX0ulvYtl54POm29D0y9cBipPJ5qRMa4pitzNDSNI68cVUazGcWHQrZbUB66p
PfaxS4Q3p4MoX8OcOPYoUNskm98cyaWtZRABBVuZtGWlCiWhbV+dumHeO2X0IcwSGVijgCcbnFUZ
xfdtan44NTvWbkSmzyvrKVDa3NUynzcutxUAMe06q3j+4QOkIZyfONb8/5yyP05Z7W8NO6ei+a//
R71t+tX89bBdPvTXwxbULOWOKAnsw/DfGPzRr4ctDbcOKFnOYfBq0Mt+35LRZof4CvsEJRbP7WLf
/U3wFT868FigmRQo2SYbuX+wJVuO0p/9OhaNeZh7SVNBLKSF509HbWxbGN1yJ77psvVsWrzut0b1
/JMEfvvLZ/uvvMtuC2SW5v/+N3+Tf/FVuBqQijYNAA4mP4OfWR6VjyHYnM34pi3iKIWVqdIx6gC2
dn1dJOtYb0BCib471ZH5Ss+j5vVWfDs0lnVLUHgZ543+6JiW4qkcOuQQkZBTLVJdlf7ZQWT7rg/P
0VLU2mkndR6uzSTOFb21Y61fqO47qDHvwWyptgXL6mysZYnkw2LFLux805BfoERxw43bhBk47b6T
4q0BfJK7WdU/enR9Pn5cqnUnwpLyMChztvWH0fJapcGE4Qjm2G5mN5i0ORgIYTz5mLS2JE/1N5FR
A6ZwDdpGahLKddhVJTTcqUqei0ID4mPTV7ULHGpn9ppOlwB+RvtGYtLBYEdzDmhrm1R0q5e6/TSL
SoJvE+m2VrBPbTWyXHPllmTjrIpbdEYYl6uQqVzsSihnPn9JKycD0EKBKpR8a+Px83h8IdcufYa1
ZUc7PTWSQ0fc177l6zX6mzkFVnPkpO8LlqU64l5tjrehRsrVwYl81BqrOkIKC16Xi+Zzj3kCuWOC
OtDmnbEfJgNxIirbhk0ee1fJ6NU4jwWelJWkIXCtdATeRDmGbtqB36yCYNr3wmQy7zqkS37mJ0Se
5r3B3j1O+Eom5PGVU0V7BWTXGn8cKYy0H+7Avh1idUrXTqE5d8Fk8rCOKbOyJzTaoswowUgMry9o
3K2iZzszUcPmrPdkFc3rmqgSAhdu0hHrzkHOXbi2MKpu2zbV3Bx97QZFS+A5qJqt1PtdWpM9VsdR
uQRYS9kjZucoT8/U2uSbrI6uRmHubYLxni/THe+WxAt09bZxhvtWs/pHsFX2d1h5ONITTw6j/F5E
nWdmjZf4lfagKt0mkO1GEUWydhiaExuf6Ih3qZHlt6Zpv/Ko/pri6Ymwh1fr/cEZsw0PDxgh89YY
1fNk9+BsiQya4jQz35Nc/gBYjHFc2aSDxpaR/qdu+gR4znbykzCzRsA81dnV0ryemP2rKaOPdJbG
GvWkOeAZDlbKMJ9EJvB5ibMsO9ieyWvJr69pce/ktgVSVG4CYe86dX4d/YZosi9WlVqtdBq1KLfP
1X1sgmnXJiyovKX5O96RDSeUHM0BDnGfZpyeUG9oSLpAfHFt07w5D1V7DMTIi3kBwlbIwIlv8SrL
pqPDm0gtLArUaqLD9snGA2iMxbNCbi8xrftOBNe8Kk8W/78Xzinr+mvo4E/HMyd80KhBMK7Yu2ir
OBxKt6u5tQa1epMoyVuRaG901B6iJjkWqX0A9XydB81LqREq0vRsGmhCaTUdZ8ti484q2KYUq0qs
XeeYnlNjTglHBO15YBUyT/tqzvMDtW7fssm3QO7moBYCiLfmqCfbyinJrGvK3Twp1ebvn7oE6P76
1KVq8QeGk4GN//7jUzectKyZZEpHSJWIdZ86E1y0KfEyPFKnNtMHz+rpuCrCjN34/KWVVXOtqkR9
sGebFd043hHzP6mj7yWO9ayO7bYK5fecTKNXlkAAg5ieNzz9m2LmNU1ZOV1KZuMO2A5WRtULz7Lb
HUU0H5TzdW4UN08ChM4aGBmpbpW7ZJq7Q+U22P7KBE+8n2+1uN4Ko79NBcu0zPo2pdk9TMpDR0nT
3KSHqoOYXxYnm9Zzrq4TvSNTtBMjVOcG64/0KTAJGWEChlSvUZs7Y+qQmEJ5UEP4skhFKnxK5MC4
Hh/jCGORIztQBZO4GBE+xEouBqwoOfcli8Qm3ieDuTWB53lRWu39HKtqZxO4R7zbkLldm0F5SgP6
sKxcXKJ0OKZdRjm6AFNZwqwtpmaDInhJ4vQO8hjG9xzUhswVsOnLXa6ubxHJey9D4WHLHz8akwGz
Zoy4LFvIjryYRl6gNrGLJKmWPrCtVrKINbRXVCcv0yGWO8Zu4DmkN7RRO9ZJrdSeeUv55mtyBhOx
SMi0MiRppu2VcnmWtafIki9CTTeqip+KxqLXKROaGzdTsjbC4KLPNNfTubHUPaLXUynWPRVI4Ufy
ZfU5xa+w//uX6rJT/tMlRMIRpFKUhjmqyf90PcAKP8D1zajmYiDV40MtutXffwWuSz99hR9t55iB
SN5QgUJycSki/vkCokvoTLYTBDepjFeKvERdRHn7XT3EvBJSN5LVxonXf/81sRn9L1/1T7v0rkza
0tAV5QxC/h6wFEM+/0OYwwseHij9yHosLsxn6ev7vqOGtB8pt0hz4Ncqiqib1/NLoVgnItGqiwa7
SZ1B+7BDw/IyNX6UzAFI6NPRSo1XSNnjQUvJ2/Jqyot1N1v52i6VytNKIIVo+dO+Gy39o8jjdsOa
TQeOEH2mvFbXlSpDjyfw5LUIQy7GqfvOSGfiJckjeQmxzwJItyzjiSLsOJQemrreyGZoYHzEO10N
FeJN3FDSIc/RyHErVvTDefVgYpSJxjsR5uCeoh7jYcDk74ClbPrvVcOGrimjfW0oO8JID+MMMVNN
DiaeXFxRXNYiX2cH3+IhkJ25T+b4yJ7ZyydfeFgd4V/6CU9Z9blXWaJGcXa2w3Gb18O692dewVhk
2yBzQxxURZzZq3KOba9O/XO5QKmxPmsFLH07GO9DnOKrkXGva5FDdB3/4czWVCkj9KeueJcBjm01
u1YlTTK0m68a7dCbvYJJSt9ZRFq8UtMe8yncjT7Fgn3d3ZSSM5Iq1D3unS+S//QKREByTWMblMbJ
GtJfjIqf4/8EX8W/uGX/YB3//i7662ucaeLn1zh8bgvNjFdbfMpvsVJs8F4/Ddt5b+7kyebocT/F
sCIac87fhuPfv9YXUNG/eIMhALL9FJbmLG/An2h99DnbeYKwf8bGu8pPwi03mIC1o/JsbdS1+nhR
3NNzv2ay7t/5j/RmOqmrQ7Txb3S0/v/lu/njwffLT0JXBUefLhmhzD+FECZ1IFmlxeFNqN7S/kOD
6HPd/2Jw+rc/7j8+s/76NZaR56e/8FxnoAXCNORw/QrqnTNd//4n+i//DhZJS2txS2Jk/OPnx4UD
sT6qOLyV28rh/WBeg/KXJ9R/0rgGL79/b9K679r2q/7r1L581K9TO3wSQzM0dqK/ebF+ndr5I8Ck
dDzzGuL3sgy7v8Zs6MTS0MzthQ6oIaGjuf8ukQMlkWRnJZuiH47YfzC1Qzr9w/vtB5/EEGSCMd4i
BPxlbu9Zm7eV4kwXUzrNRlVSXAQUMnUnu4XCWznNNR4DCwJ5PKJF9yYGI9PPSxK43T1Wrq1pJ5Tq
1XO3ikLVPI059oc+xvDRNcYBjBjw3EmnO15rUWgLYokUNpdXQaqSJthWOWZTYG6buHhxZi12FVP9
zCu8FFo4X7OooKZpKFJPKXsMWoF14T5JxLZAeg1Ki9rhAsAycGwd7EhAnj8TV2qrKDTMBk4v31yr
dWjuFIt7NA6eZq8l4Je4qeUmM2VyR2rya0iqe8zepzLDul9j19zHozKCuqLdb26d8sKi+E2IRcDl
s/jk4gzEWc8QZBVG7uD+4JxVXOg49VPMk/1VTeanrCsfnbg6QuF6AyKwjWkUc6MZajdpnxNHNi4L
5NK5tL/NkKHJLySVa4v+OFlMEOjuuNs6tLaQ/kOHCEYS4oAw7QLsRQMGpjrT/PoSRxkrOZiRbhRm
VD2Y08cciRuNpOh6IGIShQGbyliv7NtGt5Vpq3RLyiLk6/kqZtIKULSt1eu6LLYCoV51hq1QAU5r
zkar56/ZtqO1afXEovFBWcz3q6Yh15t3oNOMLOYAs4cSWwPL5kEYz2WXnjuFBXjFXN6PglzE9OVb
ck2Ghg2CH7xzaSF5EdCpkpi51xpzsdHUln6hVNz69SRhXREWLOPyGtbzu41njAItAqthWki3Nkin
5rJgvG+f4ri4dmrG1CDBuCzdLXO1odCUtauebztNXscheG5zyMRt1hyDuk29XsEgZkterjbbHZIK
QetZE5UtVppHdAo1mAEDUpVR5ZA0jm/RcSqWFfLoD3btMbmPXmtG7wSiFzW1eLdGzEzNqERQ7Oiv
BspmEFVOEkw6Bhd7shYrVZtLbzQCg9h5QOU3VDJKegQ34ezcgjBxuas55KdmCt8qGrmhEdECNFxh
RtArovurfMzstUlBZCbFjhOKMTRwLmPe4BBThOlaobZXIX+uZMksYg44J+N0vBSjsq8LoDtAhj67
uHuOM/2jnIbb2OjI0QbZFw8rkl8BvoXBvukHU13Htl2v/IaqHWdqbpGIvlG0UnKvClF1po8hdm6o
Ab1HpqCd2ZxfU7IVhFjNYGObcbwpA9IkVM29YjK4ioAFNlUHX/FMPTtNqtu5Y3slUkUi/oPacYLo
vggDktBE/NcsvJ65qz5rdYjzriebrsZvxHC5MrVFuyppd1oBjj7DDH6Ka+WoBf3BdjKuA6NJ9Qq2
OVifLo4Ttzc1ZnFHeW2rabtU7RV1BvXOwpYSBtZLO4Mjwqjv7PqSFVaTOdluYAWAcccxLiIpbJbR
5hx9+3Eq/Od4XAaVf388nt/riJql978ekMvH/XpAEv7QVcATnGUAZH6ETX87IAHHQMC0Eb1JhZAo
/e18hJFJ6kOzKDfDoLlI17+djxaxEEqXEaF5t1hC/iNVW/8x0P1+GeZ85IYG9Rf/so7EDtnmj9cn
Xm6JsCC9XTKVdPY5ZCX7NmpqaNOpmufBLSws8zB3lXyToTFwf1NykATDqAyv9Ww1T05oFPeOE5kz
ndfdQC1qbrXPjd5pPg6g1OL1y3bWiJSnUWAAwhxpuKkQiStGieOEh1mgXboeiHQ6vQ/B/C5Cgk3M
QrKxM0qt1a1Is+giJnKTWiLXY09/h1IfGETg7zY8PdHuGqxi03tSETesyKKzwA2W8li20hMnKrgu
e6l9ZRm61K+ZnbM3grpe9QNlBpm8M3rzLouk5iU6Qoo/3tAlFXhOr71XeXVf6uIttMnpF349bCj8
6igPn+etHTmZi+yLmGKY7LmsU283LyID/yvz9IT369iFlDJVPigto2E5ZtT46LKhpLtpTu64JjxW
wAfPes3id84NjT0eC9salwwdQguEIMWW2OpovyPGwFNODmK2yhdMbqQqNbX0OrX+mpt6It86pjiM
u13axFusQzstab3SsuLNpDiuYYDptoXY0HnNYRPzM6h8DXtdb5u7KOd/Gf3YrXKneMrD5BudYVfb
oEqjTD+1JHyQBQvFto2Nk8/SEljCNSqX4lDTCl2AJT7mK3kKFlgO3Le7UMoHo4YEzNj4TRb5cUYV
LycbVVK1kUFzy2KLXsScReORhKfbclavjCLfphFGMGF0eD41OJJV/hTLBhFIDtFGG6O1LNv73JSY
mweel6Fqb4zK6m+6pdPdmhq7XdXGvk1k9oR6PXp10l3nHoaBqYe41olr4jSgtmzqHusp/vA5FHYy
5KFuUilHvekzZo8Xyw9cUWvv1OmhKC3fhtrfKZNNNfd8SfHCNZHAI4iXbCpu8AyfUie5nSeJscKh
go2qg009RjRLOEm7V8vpiMWe6c6MT4XgNgJDYRUq9rNCP+CqNQcW2fHou0q9VGEkN2aZXXSnPtKw
c8s2ulq1C8kjsAzq56o3qK9eaArc1ykh3cI6lL28TNGgc2vojoqDQtlXBdfC5sGOrQ+pjOdadl/C
zx6a1tprdNfHfcJ5GlpwkVKHuq+C3wORlm8pId6LmMnz2GMK+SCXF/7yctUO4UtVg57R1OwifO2W
qXwDxeyD+IFr4z7EDAkgIdOz2wV4f8r18Ghlbf4cSiYxwuZipah5elQoKXDNpaMaxq0knZy9ExBK
1iQHrlrjv6RKMbnk5GqkHqzl9nxK8/bcaQlbD+N1kNk7VhJa0fmiA3ViZeSl5KlDap6bVN0aOvbe
Eu42fUE0m2E8zw0b2yo0T0MkiwgISMYMD4RH9WOk1fm1oWSlOYy9tujPec9lBkis41QsBGL7ucvy
FNU/06CLI8ZuzG5Mto7BFZUYslwFcbcllSFux8k4MHpqNyFvLpffuwnfH66m2df8glprfJ6rPLir
sVgcY4OavZYfw3pIlXSnAeugulGz9FVAcoAQqGzDXavoxMkQgVLCZqq2UWI/Wf3nqP5lCY3Q8ndH
9bev+l8c1Bof9dNBjRTCQagJ01koTr/vnyG8EfdhA83ukVmIM/enkxoPlmOjPeiQOJlmfz+pYVZL
iFL88qXOmf3PyFKG5DP9pBz9OKlty4IiB/gfiv/yTfwspGCpmRrRasHF51FjTVj02wb+ejrVN3qb
PsMhXJWwKkEaTwfLn7JtngWI0N1igv4ylJ4iTsdkfgBWTTruOMLSX82EgvKwJ81JqmFRHsmb09li
Z+kTwW6m08hx1lyTP7WOIEVrdzdth1dH619lmn3XqLUzBUos6fI36TDHsgZ7QpRWdzl7iCAbfNfy
F0d0qxWbrkOjiRTifpp45WaQe1VEkhN/PPlARRobCJ/f+6H50lOTxnd4UGu7iCHt19ylk/A6Bvn7
rA5PylJb7cgAW47JbjLBXGVKxfQ6GucpIuKK3VjFB5f2z9CqbyBMSoYA/opd3YA1KLVbJeUYSIMz
xuwjmRF4brVJ93Mkbrno36q5Pq6iKG3pLcW2nKKTb6UBT7lvhk+/iRs31bpolYQ2kcHQhFWnxg99
P93CqWPCUakUaHQq/Gi/um8yvC6ZdqUBs6Z908g8xZmPYeocwnak0DVUXWsIIVm3/T7QIDgHBdcc
mHI0OHYmraNRQ61kqM6PTVLkO6cw6a3F0wpWqtUPdAvEGycZvxFnnQ5BH2qumquwhrLY3uo4p5jU
9JOstH1l2CWoG9+/TkqOS6Bqnc0UoAs7aUa3jRJJN+/y8FpIZVssvUmRxTqmepvUct42gb6kd0PW
rIEF46A0NhbEu73hk6KVub9p4YCucdtbtMpmn5AYMlez2ECmipGt0xyZd8z8t9QaoDLX5TlKysnj
k8JnpgIqjjCiqXO/jnytXfe5bA5CVHesMEPCNf3oocvwguxgG6oNDbo1xhw36ObPrlZ1mAodiybF
YBpLcjjhfmHtoljQWjrZZ+BVjmeP8qvmwrGuHe0mHzD96C0vZbaToxf0WBzLAHeFpsj7PNTfeiuJ
qR/DqdDYVrprm5FKqmC4VybUFZ/9JQj6nPw/+GX4azCpIEx7FfR0qLO42I3U2NHq/erE4oO93dZS
xnYtxuasUBnMz5kj3Rhybw6rj8kxljJLq7K8vHHklbG7xSY94wxhgF9qKcd6oqZ0+Eqn8HkMeM8L
sK0ciMzdE3LGpFNvSfjpFUpo4/k2DBB/KcGszOlpZHPMjg/Q0UiwzV4qMwvQ7W5Ci6ZdUKc50KuJ
2QHW1lK1qdFEeaSer8KHH8aclfnDTDNnLUtyVlR1dkX+PaK7U+jhPhf2EQovvrj4OJNoFKyAQyU8
q0v5ZzERwjU4s/dZbdypBflCjc+7qcjE2Ut9KGvNPQVpFIomfONO8P/ZO5PmuJE0yP6VsblDhn05
zCWROzOZyV3kBUZxwRrY918/L1itaomlVlnd69Jt1mwJYiaAiPDP/fm2oWmUQPM7y+UaRIF8NWFI
D8S0L5TpWZfjikpyziuia+Sdensfzy3lo+HI8SJx2vaBztoexEFUmrT9KnVxYwxdc89QdmDGrpc4
4NWmr7dG7FpPYVpY+7Yps/CchVno7pAGzacAkGpwTCzwfIJ927LzggeNGfvKGsm30DyR0cdrJluT
zMUKIEbmD9x3K6tEMOMufOzMbjvTN7LA8LKN7DlgO4rOAwGHBEkRXLnzjKTRtT5lPLMPEvCc2SED
I9hFRBFiXk9ppq+6MHkPa+eqtoHvcehaT3FTbqkszHyndK5xKzAZ7+8rqyBOIu0pQX0/ex17FHU+
ewQku3Sy/LJUn9ksU0aVD6cEPKc2aJnftkGzrehf5l4LTlOq6v6EkkMcLRkXeTho6S4vGHk2Rv7s
FH1EBK9DErPjQ5wm33R34G0wUuarr/NqKheza20C0+Q5zAiQOUp6C9cC++pSpFsZYc3nDXPDjdK7
p1CzCEtNybttRMDmW0bDBg1oWbzSGD2gbeb9KusrMjRiuBGzMS6jgLdfLUS4zo3SZRCITpjo8Qpg
/AfIf2P0quaLgZy2blfXcWJBC6idQ0C2tWjUmBMgjFIiqLdVpF+aEW3DVqisrbqmTtDJ8REzRBLV
pYIb1S9U+yFx+5dksKPNMGYXQzkWC6aLFwG1hoQ9iU7Ep8kqhK+39r4MEKC6pFzHnrorG/dJBbyy
MVRiPrZSaIsOQmNuxIZvMS/OpwzWtXPDeYoabd18s6HvrIeZl63htheJUFDRnJS+6WkkI1Hvzdal
HzuOoNrVzo6WTd7PMBDTfsaUFN9kgXiuOmenV/xv7XToC+U+NfiqVZcwPmc7Xjf9WmjhW0KPgTUU
u0Lhp0HpvhP9ey0b7ULo0ebf/eQf+8nfTkak9PMr6MePgxEJKgVMxbj+Q9/hR3/qPoBKyQfoNj0n
jEE+8cd0mk9URHZseqrEm34fjDhfXE1qNdj8bdOUxSn/ZDDyV+HHcYkNEFQw5b+Cv/Dn7SQV0pZt
K+p8MkR0XxnsdzL060VeVkzCZ7F2K3ujcRNZE/Xoo3dPHx7RgY7SRTJGt4lrHo2i3YkkWVW9GzRL
xxHgGUNeJndYa8Ej6upVqOT1ruVF6C2RVZVvOkw8GBya0XNODHoxUqapQu3OnGTbtKx5AjH3SoV3
uCw6+2ZI5dS5n06elUFuyI1lGZENqsbidpqUe8r87ogadgtV551MgcfOVqZTFLt7zlXLKWpe6pnE
dkr7c99aX/WUNI5Ll3Pf5MuIA+UiaKV/pabNNcjfp3pOFpGurQMTXiNVBwZ72/HUogYQGRyXFnS1
JVVJr9Ug5mWrYsbyRncVqi2t2EVEM7xjOwgTijntBtJ/PmTICw2ElwGQqNOii7lzfGzxDmRLKj40
piF1Xz5EqveomA79sJlxlTL+aC1xn8YzEMhkvmuRnPpOKy+1QMbWineduGZfx9deJ3ekhjgQU9tp
YrpPGzSAon9Xa7akqjKhRhsG/KOYoL2ipO3CyNJt1Si0iUa2r0wF7C2dWbvFQBp1rZwgYVQYK9qB
jFQBld6rE8wA2AcFPJOVm6awuMYSIrrqvERTuM8NYKZ4txHJRzyArs4by9h2XX0KMjqgDFwSJN/r
qkSeQOretBatqgtmGDujZa7QWMd2pEzLKDg7R3m/NtXgW4pCmGajspAyfpKPz6HNiIy/E2nJw1Ym
214JfFEprDyrNT3Gdd/ybiUYoYGjpQ/MPWIeZgqiNt1a7yL7kA0GA5e8vokaTIp6K8BL6qHkb3nJ
cq67LWHO2W9setqz3kGhEdoG1xEpWO7/yy52eamaO3D790wXt2qn3w89EeUwatRl2+gaU3k9OQC7
YXvn2RrpBwSAoE8URhuJ6dPlG2wmTVMvy9GAP6bL/WnaoyaUODnCvUiZAY2V/syA3gJkOsUnAj+D
76GzTK4g0tnAnJvizLeG/NvUFGu9j78WIfMUj0bRMOL7TNBZSKVRJjuKP97u/3N2/2m2btG1xNsG
XhkpJg65Uob+8chZGmOfQq/STpm4S81Xgs1/a2n6xSU8TtuGRHxodFl+Gt9PZTg2SWybp7T51qXn
qbzNvcO/a9THGiW9Dv9b87h5fqmfxVveFn8dUMg/+V33YEyvYqDH9gxZR9Kxf1iotC+uzQLx/Sf8
qe8TfPcLXnxTxXzPf+mscv9dqGgYId7POxZbCQQWENn/ZKEyfzaQfEzw0T3411kqAwq8Kj/fhJQv
583Mo38awWET7o/LNetHsiqhUQtnbNeNkjbGYrTM/nFIxEUJoXhj0ziItzIm1z/h2A1yV7sOQ3tF
ZEoQf88d3mOxcqG287MV6DN26vZtsCumz0kKkAAiHgw5+4gLMQJCTcltyVz/kgdllUDSo3hoNajQ
D2MYe1Qs7c1ae0/H6X6AweeYKYRmOHmavvVizlNeIkA0SXBfkoFtQhDPlqNqMrSQ23cT0l/imHeD
rTylvfI2SBSg1G/8cWCOjur/WmEiQD5XLlu17zhRMeYeZGFi79nfZOB+iZtP8zMHBGcvMYTdVNxH
kksIn9AuarboH8hCCS8MoeGGxzDe2aVxzfD3aAA5nClFmvKzrZUDnIz0MvfsNTXOD4J9ecB4Psqt
214iE9XkfQrNEo+nfuXWwDiBe6h0XDd3hdJCSJHoxS6LMqScjOOwZ1TLGkKjCFtr2TpAG4lYJb6R
0ZetSqTjXHBoo3CEN3CQeCultZulCQMyjUxaszAWdJ2SXFtapi9H9g6LZKKUWYtRlKxCMY70JseE
dpn1py696zO8koIT+4LYtLoh6bOzVC3G/w0bz+wSa9vRyZze56HihEe9mcVDAr7CW2SiYl3L+tkf
DZu9Ak0BhJrddyrct2PUn6KWLYIhENEZareN91TLEarICmIWnpZRRmZqwZoptnZy1Hj0G45lpDSm
fF2aQ3EUsx7fEWS7r9t43FLa+ZTypvYtTKunwUx03B8dfOzJvfXyYWfgOQH30G2ymWQe2vGd0gUa
o56BIihwDhvIE+G1MKU3otHzU5ODQFX5LHEKHsdoKnDmxQQp2VL4SZWNZ9gQzcrthpIm9P5bg6x2
4aR6D0oieiu1aPRnE8p1jDqiuEVA9LOj50WxNN/x2m5bk3/Y6rWd3VR2RQVL4eS3qU65WqnFVCOb
5W3htsu2tZXFTC8P8DILshvE8S5QEjkRJN9VTKdBdujQTDH6QvbqWLE+MBqha2eCC71vJ/WZWhS/
ioZ76JpsUWRDT0F0YBmaHi1xo6nsQNoMT4C/B/AJVbCM3TbfjGWRvqSG1WyzbgCJXrlgxKJx25Pa
I7QASnZZE7tbsBGvrwbZJRSFBnuEfrpswEghfymIMEXMkyn6ej2qLh4IHU+94s4AJjSgKKk1zqt/
16OP9UjntPK/16PjW/5avMS/KrySf/DP5Ugn0YXzy9XZs+Bz5kd/nptMVip8ZB7kLUkEw/78n+XI
VL+obB44ybBP0g255vx5bmKlYiFSCVsj7P+Tpciy5VLz32E5/kjVgg1NGhZ6tEcB9id3tEOFgQtz
UDlpSubznCG4mvNbMBDqSa0MMoyhrglwrOspFNlGjcv62quFcqU7PcYhXlW5wyrk4bD1gJwvQVfU
Dyh3zvRiKcwv7SgQ0DmgpSeVJKjrsJRDGZGEGmtuQEbXixE/y4bet3HVl4q3rjX9a16m6ktYQWav
9LFcFxG09gFn36KXBHc6HseVIanuXarXT+UH6V0y3+eot/ZD7uyTpDYWA4REK+Jw1oCK7/Tum4DB
teglRZ6dNzxCuasGMD9J0rxwrBWDuv7SlRR6USfhypNkelYEVktJq69TrL80YC+Mie56l4H5Qpd0
+5kshd6OzTlp4DvkU5s9MoSebjTtITYb+vmU9DKuwgjYq3eVzKCYoLQcJxULgcuIcmAS0cRQjV0W
RLMlqO5KEr8jmfysL/E+dySnXxL70RLVVWNJjH/N4J7BJmz/viQcxdeinNgaUHkYeiTZCgOAiUkj
JP6rtC/Gq5nxKRwoM70aKREoZJuAJ3sFgo+KgXSe4zWjWPoteE9ltHTIMoJa1hIAsOUIDNbbXSIf
01uQwNKCFJmXwY3FZTd9kpTqihs73+V1TzdWQ6NAYCvuMTYHwge8JY8p3fVuftSqLrjSuugxiyxr
EeX2c1gTaBho7F0hEzymWhuugrZ8Z9wviGCHhyyIBD0/0ylDegbPId4j2L04ydvTJBCbhWM6vlm7
1JdBSgM9ae/qvnL2pGU1v0+mmygBwo91a2NG/IdXo32OVucuzA+aHfWFA/+A9oNzV/c44o69RFFM
hkOPBGjJs2U1aIokv6Rhix5FX28olyyTrD3UlccAhhuNFWSw13VlVRe2WRRLpaAaq5YEKnfuNkaU
PcljWKtypISo1eyHURiLrA9JVpuBe0lDyloR3quuNAc7EVdF190F7ASa0iEKoSvl5aRAxdJtYsFh
MW8lm20hOHreqkkQrFz3rVXGizgjM2I6hyliLXKSaFONExulec3vfHKn/GAJeH29cmFp8UFEqHJx
ZwXH3EVoF2yc1l1EU+M0hrSjZTvQvdu04ktyI2byQ0xuInHgNaXuc9gNPIF2fBp7yinHnKG40vaC
jH7la3a281pr5dbs4mt3MRCoor7g3XZiXi1ijbtmXWKbVHtOfaGuXpccBaMy2Tm9eeHRSzdoLdGI
lugAwuWdS0GdbnZ3dq+60yL1Cps5oWfvA3d+Lyvt2pq7ndO5S0OIld2Ohq9G44WlpD5I1+fINjaw
uldNGJaLxMJQmebXbqG/einPsMiMt9abrk0QZ0v2SsepmtdKavol3zGZF0pJMOcR7vH7WaV+LRAv
UDVvMethcEuTXd1FZzbwJ+GyE01CCUfbOqIAusDlQZ9ciXy8nKrJ14mB5UG3VHDqUWSFqS7dOuQs
RJls7WZc454lPqXHL7bbwZAqtwo9ISkUtaksTnmpggynI1RrIccnXXjWMUXGfbhlWV+KQjkwpFvT
a4uIylY1Hf2KRwTbsB/U2hLZzQ/a7K3O3oqgux7Jliauup0YHsZD/tViTNPMxlIzuQbyhRnoJwaD
N01rr7EPoTCP1+bo3WbJrC+x1oKDgpUhTApnA487kE5g1L41pr53CkEvecOtmWL6TeQubZdCFUjf
O/SU7TjXX1Wtxerg3th2+dWNmuuwn6468ZpP5VulqgRBRw1bLGcPu1w3wbRMQ3MVAUwKjejKqKNj
0RvXmD7eNaVd6DUmTTj3papuFa/fuo2yVqPsJrGKQ2tpd1iMFk4AE8K2ylWggAhQuzWP4mXjuWvN
aPZGMHHBahWWfGD4MpdFFcCtN/WXoSu+8lcxtqU9a2rYtfEkcXKJBn/KQTbmDaKQcgFNbDcrDile
/J99na4jer5BWAaVz6iWfaLtbPS2fxBd/tRS9jOVzo6JO5haSneweG5zIBfqKLBIWR6xt/7rUKsP
RZ1cUwDAFGLE9dHx2SE95u3WaS3uToe+sP4qL7KLkqhar3Q3Wexs3TE4gZvf5abY94F2jApiJnkX
r0U2nakiR9AfFuXgXiW1dzC08bG0ZdszGpnuuXdBbV81dXPKG+u6G3FsuFpz00nUG2ylhfSH51Z2
yKxwj3KkLgbmy7V8Uc3F1yltL/SabX0JzgC1UBYlN4Pc9OSMGfK7upz2ml5cKLCrTkqADgZ2Obtp
wND6GDr3NYPaeRjQ5lIWngRiln2XtIJJAHk7YsbtI6hSnFMA5wsqjGLt1aanNW+rr2kd7VRdO/G+
Bfdbpwi6zQWHF57LDHv5rGqPkdWUa89IbwUeYqTVdJMa2pmGyARXGdpdMRhr8vDbILX9QVfEKp4L
oHZMh8Ih9LVJX6YZ8b4oPzN03CTBuB8BtZUK0eUmeW5ri5E8k0FcScxoe2fVdeGqjpTcZzTKGKPz
RcYiQfvUtqc2uu+tdROrm7B31rE6rtDVeP80TKnCcV6PIr8ARndRt9Yts3/WGs6beYNPCiCLEg3K
PtdN7nXmLib6qVbsMqU9zlgVm7p86VyZxAQzEWTjsTcRFYXK8vfDlvb8x17wxwj/X+Usi2iPLqvI
Zbjnc6KmHeq6prpEOamCQXS6KNJrhYHO7y8iY36ft6Hkh5ANDXp6DEks+lGWw0Oh2thYlNPofqsZ
5naPY0FxzVJAj/79lX614f3xSvJf8kN4pwjAws0BV9Ldy8jEsuRoq3neFfZ90j3FuNZ/f7lffno8
TcAPMGUxIPn5cjqzaTfIivDcK09td1GFL3n28vtL/Oo3YrfMZpnLEDT5dInApuTJm8roDIEtGTYd
rQBZhMgdbmL0f739A/rxDxRUvgjAUei30uRrfzoxSD+DPqltfKaBEtQMOOpwU6Z/8zv9rJB9HEt+
uoj8+Q/fUhMorWUHXCTB1drWh8SLlr//1H7xxfx0BfnzH67Qt3NL2wdXwL9hE7RN4VniBfn9RZiI
fb6tf7rIp6+mTKe07EUTn0fFWBBU9uKzGTe84B4tTLbNSYdA+Psr/urXQvCgOYz0jwVa5OdfK41d
EQM9jM9OdUUfrV9mOyd4/+fXgOIPLMzgPtA+h8vhQyq229fJOW+iFVRTJy/8Ibv7/UV+9dEZhOBw
cWsGrLJP308xRI4DISjh+3nM7UPESZFWiIUX3CTdhYmxYwiufn9FeU99egfxivvvFT99WURyifBr
E34pxjUUYSIs/83LQLY8/nAJ1F6M7w7dB6DXTJvn9dPLpylMEPujJs7JgSnijsXzSLXeyrqKri0/
X8Vr11fWv/+tfr7kH0/Sj7/Vp0vihBMjpKTk3NtkdvEA6x4vhWL7+6v8+rPDcK+yclq29enbsmfa
vluCyeeg8nwdawy5l99fQX76n78dfIzcbZDhJCPu5xu7bHRQg42SnB2OvpOrs9t8ik0aXpLkb36X
X31iP17p0wuOKV9RYy1Ozpr1FrlXVnBTzX/zevv1JeC8ax4zB4ovfv5lYi3tXXMO03Oen/DiLkZg
3Hpn/81S96tHiJvtz6t8+urTGpj6FHKVOH3JFNgEyqo211ba+Wl7VtJNZv3Nd/SXX4u2DeYapooB
gMn+5wYw3QucUjhFdm77DYjlwV5V8/Xvb4O/3GifLoGW9uNrO+9DPtCoys4DLFVNCZdTYv3Nx/br
S0jvq8qGB53t50sk4yiUjJPWuclelBlsXPw3F/jLrczvQAqGKaSF8PaX8Q+vTociolmc2eeJDgNr
souh6+Te28dn9W+ISVIrf6fK1i9vr3+dEMo/9acki7oqeZVEfGFC2A4/+lOS1b7QFWebHnoob60f
JFkDnBc7YSzRJHzBU8oY/ncrC85oBssOsSODLIPqmf9EliU2zz3237fdhzPaYUxJhIomBtI2n+5B
Q9HRQqo0PWkq8OE93MhS9eNemApuR1rbWHZJ1fhdlVRXdJstO0BY5NK3426nBskml5ZYKUG17j2q
DpTHuL/VDLOGFpgV0ddAuuTslqHGxMbVFx8WuhQPKX0x21K3wGJgtCvS6TQqWc9+RX8OuJF9+lIu
Ssx5uT2Cd8CuR/vDppT+vc4d77Eyv9qlc10aBX+BMZfbcLQwe7jF1my8qxY7YF/UsrNOoCFJr2BJ
+vIuwD6omAYhGXUC4jNqJ6Y2V4MAO2hL12Eo/Ydj7W57u6QeJYVQbeuPpvQqDsXUrXrpXyyKql+x
mUi2pSFAQtVQw60iwI5YRV+7tGqXuVWmmzAlfzDLJIIhMwmEX4knDDKpgJuCIzBjMwIMuswyjDLV
EEUqXXsy6dDIzAM1yOG1I3MQtkxEFDIbQQ23dYqxzPuhFmuXExGKSmYpIkIVhUxXBDJnkfVmuoHp
3qyjjxhGLxMZOtGMQGY0qOzCCRgRjZlkggMbCWGOROY6ApnwcMua058g5Rny78ireG86iq3tADIq
6Vof0kU/Oan2TasMc8mAceFUSXKM+o6ZlYvJHVNKRDHrwgzntWqJK5OC0sEfpwJKYJ2+4ah/oCLu
UKhYrYUzbDKclL5jWcfaU44NTCpK2uKlVWYAgfN9qdePupIekgG2WKWLWyNkeNxKMCuGRT10LikS
wRsatU6K/3yCbW8YvUHZrhUl85FmKOrj0mGVlrSZG2YfoGxHu04EZOkClIfR1t2VmMOXeeTVG6hF
wYEblbSQWSOL4j4kX+sF9bmWQaeUQoi2WRrRuOo04sGyQXBsR8CplOlhFUqIaiPfA86/bO1BLF3V
wowaQioHSo2ZmP9nIjNMyC0Ohyg/VWUCwfJS353NfjNFcb9URxUI+wBTpMa5PZXgsVRi13Y8ggq1
kK/jjCoGVehP9qgRMZiKm8GhVNCb4HMHeeOAKmXril93wRTIw83vvIkgfM0Konw8YcDkJ7hEbG46
ugu4BxDEGYD6XTOJVaGh/CJaePTLIfVrZrjM1bqlBdtq2c4piML4iBOnSPc0PRS3/64hH5M987dr
CJ2s7fP/8etu/us6Iv/kn+uIJmvYNRKvtsdt+dNoD7ck20QXu9H3Jea708T5AmWZlKrHM8R+9sfR
nv2FLbvFJhpon6lJjMQ/cZp87Lt/XkdUmzSubRMCQiD4jFP2gGLZoeuWp5x+yjW5aYgJ0NyX2Zg/
xLXhrvSk1hjLYQfIUod5j9XuKkvjPa2KRSHEsB8y/GgiYnFo1W4bIscR2LYwVRTkR/MuWXeYyRMn
+TYENbnAHgQ7BHFZnNjnK0dY0GfKyTtHlbizalTwajAYU6XzYUp5UkNazNX4gabOW8HB9eRogeIX
o0bgNXbCFUOTeC+y6CEwIRmnTNDclOQn7X9vmlKDzNOV4TavvK1tOxdJOU5rlR4CpRmvKw13TcHp
lx6Wyx5ULv1eGwvoPYFzWLiOtM9ZoFWm4thYDki81tikqkf+M2xeoJrPDOvDfuXMU+0bcbAJ4+qG
wf06GiFHeCaEyLqOd33mPGnSADmMw2Ufwup3ZzkNgDHUjWKLHqstx7SLsHNLS8t8HYRI4pai8dF0
cX+RxZg/hRVewnjde25a4aehO6ZVXpMko2GxqhyGPvFmmAlWVoHDsKVPqSGJMFp3M1ObzD0bISuJ
gYMPyylc/Na4plYU18gr2tO7w1/XTXxkcQUyPtKa56jLTbwpDoQvp0VexbtuyAmqYeuLIuuxzWQm
2sTUbN3Cuw4YhlwFWbStxmRcqZVWrmKraJZsrfTNrOu35uzgVelJpSjWXQkRel/1Cb2yeHamOD65
TGyp303XYEAvmqI9D0GxbEk4wotaF6OH98eKHzyzMTf5qPOylHUDXlat59hB9p6+6oVYm3n/ZA5T
uRNGf903CgCReXjjyuNqNLK33qm0E6Yig1zFdE5GQJNBGh29TgkOtIN/02roey1zZWo4c/spUoSz
qhyQffTd0IWmzhyJoEsw9KJBpVeYeIVFczU2hS6wGYUtpeplxbTDdl/d0h2APxk0WTjruhy3rRGs
J4sRsBHUj55Jc4Q55VszLbkEWN6ScU89kAHpLD5iNww2iojmO6PEWU/70wAKzrnBlnnRatNbFlXp
Ukuta8ae4YVNgAha5aVOP4zm0RST2uwBUFxek7n06K51XkcZSaKtocHJS6al0JqrltIDHsRjQDR5
yUm5pH8AVRh+MUuQuWKtMLnD3W6hjRN/giHeIh/CaZ1owXtWBuesnrqlKVqV7tUOunFnYqqdKYPS
c3XVJVkJhgF7j9bj58r3Q6I3yzjQH5OSaYFtt+0hMhX1aAy19aaqQXpbqNhCs96dFPT5iLn/v6vT
Hz5IzrX/+4RzHfdvdRO/ch7EDEnp3O71//3fP6o9pb3+++KkmV9M3vucZlTUJofT+vczjgQTc75w
AQ9yuQ+D5Pe1CUMKZx7WM444JEB/pA8bXzi0spbBdf2PI+UfrE0fAt6PS5ODVI1Jk/XPtqXl8pPM
Euk5I63O0I8U+VSlc1BwLuE48Ey1EerSM5P05HW6kS4jO6DiJR66mQVs0hwwhuy4mQ5np67gwRwE
7BTLyqGNpMq0HPQmvxAkSm8mg8RQN5rlgeK+4qUN22GviyG9MbWBSHpBCbTfjs5boMcQ5U03WMOg
lNw6rCpPkaqqHq9bgmY8RsTfs02qa3QmZznVmBScvytGPF/rjR13zP04cOUT/VuqS6N5aVe4+xJ9
QSkkdV8R+2AhuuBWR8a+7koli27UxErDZpM5WjXvAMAH0FlxEJEW0hxapLkgOX2muj2kKmiu0+AW
0zMD1/6qrjV3gKRf6yaPJsPxS8aqyUpYcZXcKZQbC6BPqeOwL7arejHUBqE7q0cuS7vO2Jk9laC8
uUF0Ym6Tgzq3LclH5BadMH3tWRd9adTPoFJZEERENgoiVIO5ourhY05xbhjYv8FjThGH5yUvlOtZ
ow9mq0NyWRZO8tImWbQvARvSWoTrZ+dWbtxfw9/T1lNt5bSGwHR2hqPw6GJXNv++ET7eCBi9fvNG
OBY5XLO36a8vBPnnvr8QCH3jQ+PpRkIlriN9yd/fCJJs5kjJy7bt/1Tzfn8j2F/og8QtzwNryJfI
d8nD+kIQyEMwl8wWVMZ/5ETDl/1Z8iD5hVWUWDnOebSIT2qlKDOT0ZxrXwpj7telGpiUJjmPDqe0
wuke9Na+S+erYOo3xMVWeuVedW14F2R0dGDYMfCHpnRnT0eYEKHyYgzpnVCY42tGnWymOv/G6tRC
Vwp3pUi2akilYNkVeNvqwI8orPbJoTzRWFF+09o8Bi+ZDStwSgGJ6ITgY21vg7De5wOTtcSIHgR2
A3Y7jzOWhKx06RCLq+cpSa+8yHiube3r2E+6jy1FltQV/hSlxbKskouuw+dliaJ/mFT3KSaLd5GX
WrDSBsteqmVyl3bZkzo5884U7CQpqcUaNm/nSn/qG3HpUVM02c4NpfcpPuXKKzgEJ8NdF8WPbqxs
B7V4aGol3Dt6ufRoOxN5f6klcHqz6XKc4ksJI6kmDNRBHL0W4CbCNickaw+XnuRu0De4M4s1j+0C
462v6zeSfoltp00fKz2qFvwTN00zS/2mX2YmZovWokY2TXQMBWawKKymQajhzRoMUNQC5WCLYtgW
LdvEIO5WQ5Fg+7EPRELntUm+3e+zbFsV2WvNuBurasNZvFY3tT1HGIq7M/0eWzXBtKLSTLSJcow7
Md62LOd6AN8aK5zRp+pv6jyB9VKZFFFfVTCopxndkynrA5aCU1Z6l6I0l3ZCEy+Z3sMQRpCKnSXd
alAHTGxAmWqRcJREjxBrj28PtJFlKUzezGkaP44ptYgdNtFT7OEZEyRUW+cZu9iOsHm77hpcN4SU
pNnxanDsxnc0ttGV8TLpSeWbVXKda4KGRL45pTTuLMKelchwjXOEPFSKtsvc4lgm4xMZsvuooa2r
ctn5DVOwnG2b9HzSIWXUZD/TpN3RsVEseyjyXYx4MSMjSqTcVUCenN34uKWCuljXIcluUC7DIi12
hh7jXnZwYxEYKsryZNYRXB91gxcdPxLGprLHSjhlxk0y508g9tmUDsdiJkSLa3FPEvugUsOlCwDi
mVru3N79ljThzotCaAKg9Gy3uaV28KbslDsG6Ts1L/YdANTCtnepGp7gpjzlTXZnpxUf6jwcTKO+
wE597HrCXLhxrjLRb8YgPpiy+nQetqVX7DQ5spjMLQajfWhixqon46IEtzw06lmNzGzdzRTfhO3X
gRo7fKXzOq7bE2g7jjKzs689/dqKy4s07tmXT1TcZaLbJT3UZ7U+hqWDzarHgkmBCqbOm6ZoHsK8
ugjG5NhF5jIKp+tczXBN89CnGQVzQ/wQps7GCoutsGN3R7Z8Y1N8y93RHo3ci33KkpDYwh37nyuh
9OCE1MqPunrXe+pXdQT/6qpZtvT07nqIrENHr/cCpDicvll8Re/bOl3vlzjSdTBzfod10sjsp9n1
NoOC0OYNNKP2jzlRr8ZS3+cmZHeEyDaDnYlVtm4LZ6bL91pn4+hn7pDpa7ewePeNBrWdpgB+b2cX
XtgdYPrsxrZrF4rmXURRdDL77CIIp2GB7eY4BMAOYi+X9bmc4uvsUlG9TVV4lzUgcLg141pUqsaB
ULunTOkw0gZgpArBvuRmll8hwsS3Uht5GsMVETAgcMrDqPYnQ9Mu1ZRctO0AMZiGZ10hFRmXIbY7
WlWrlu+i1qx13oUxNXPiqTSM4+SJFldMvU2LZJPm5DoaW7vHS7evmn4RRYjXjXLVA73ydfPWCTsY
x/O3JHNu0DTCQ25VJdy94LoU+VGREc2AXhhztp600t44erAwDfBJSQv/fqhHfZvSxKbr4Vs6QQNh
wk1pqjMdAJzpa00rrbUaGxunQkLgpihBfyFt2KG6bUT3tRnimypH4ejC26ButpTFhIuRuEQ+xBt+
59twyh7aKup3o3lOU0xOKvWhiU29txg3llkQLghvY5WDnWv3WwUcczvTpdvYV3OmUY/r8dFoJ6Wq
80WElY594k2KlrhS0YaXbi31YG24Kg372GSs9yvUSR0dYKjie4uiN17+yCV6TruzgM65jiqbcnRs
vbHb83TOhwr/9sKWag3a6bYeAfOFuXcGQuViPUXXmRWIULrUesIeGlTfiW89MpBp58maFQZ3L8C3
ZalLdTNEh2+3AZLFcpRaUtF7/R7kIdtUOmTzmkwLT/EinYBgG1KNQlaFoJhlD30R6ktValYOiOG1
FjUcY0Vig7EU4YEBCbJWpbVfE82B52XN/5+9M1mO29q27a/ceH0oUAM74t3byLoik8ma6iBIikRd
1/j6OzZl2SQty88n4vXcOWEdKQkmio2115pzzEphDNFbp7rPJjRrE23fPjGBvzA30Zg1TMli0pQD
wvAdTpUL3Y1X5hAtHR38Z+ld+mW1b0sdUTuJq3ritstMK+89clOlMmxZaTUE43hYtyacJ6NpnrqI
fPjYfTA946zrUSlDcSJvYNV4FsKY+hqJ4rhwneCRlfVWNaoNsvqjag0vtLv2gBNoJAWI2EIjn9eK
cV9M1t4J0zNaJcbcdlJ6QajjCqR9La9oNuYoKyuPaDJrkcT5ZVNLq1A6bQvfPlhDuIEASi4yXRIB
6jlX40Xo4NO1I+Mk+vSqwebc5SPk+Cy7zmi/zIkN26thv1VV5UyY2pxSiBSmctt4Yq3EwdZ3yj1U
ljvbNPZJpu0qgzet4RJNUTx70bTEVnYaPCoFwpeWkxcs2bLOrbJ5SQNxUIjSIvIM6Xi7J8z3GawQ
WRYi2+ZqeFnp0ZIk3TmbvHFmpCAmBvWqjhVkbxm0WnJW4IH4S9jwxBHCrZOW3BbWbRNpm7TV7xme
k9CrDStLQbHOsIbSopzBuSxZ3eP7xMCspJHC2zNsEjHzdXqUEPCjWyFIhnanC7IJA6R62vXYMwmK
irscpC9CYrj3Shd+86q8I523b5lqGOegNs893/g6qIRxMahdmp6zjkS4FaEqVsR47rt4eilG67wp
NL4xHdODrXOz+HlvgdxxIFmOhbb0Rts95lq+y8x2Sb6EjWVbPSWmckgaHLuKb6xqcoVnnhUAzquR
2wWj/WD16NgFKw2qxOEwDC5iYsCbgzWdCsV+0PXIWxVhea+ym56pdruK6y5BQsi3dj1tI+TSQxbp
rMvxfvkVKFDmYGcF85TYV6ajolf7QpOdS+TIi7JKXxlAEeA5lqDG+BNd2gVN3Ss/HAoMXOm2d9Ai
j01LyIh8a1vm/aDxoEVMUxbVgDK4HM1zLQ7Pwb/NzcgMtk4w1YcCtSl2XuNOh1Ky6yvvJOrkAQeB
uZGPOwkrDEgy3uaoFowHNwCMV5gnrR/CgyBeFDPc1i/Uax0AyZRbqmwHrH2VSPQ0PpQ+3jiHnqxv
pa9MG7HLGfoSW9R13OS7EKxL3NnUmf2wBDd1P2rlpRhKCQZwziPNP0+hCiaOOYLNjW7LRDyYg3GJ
oi/fWwaNtxbL9kpvzIcpxW5fa4oMT8/WWccPVkptlRMACmDO7DY0b7Gb4F4BZ2SmqnFFeLXONqKq
FHNJRo6pR/PYsJWlroXeFP0z9QXjBCGHEA5TA2YKqEo+6hb0UFUHUkLDY1QgJsjO6mmgm3L1blt5
8b0/814N+km78NtBbA2YF6pQtpIfDxJ7xCopdR0e1XGrZGcqIb6Ked3038dOfykyZCf6bv4tRyN8
F4fBt6kyuAAN9vEwHr0XdgEqhbv+2uc3ivE3otaf/HyH8bqqY9LmdH0+V7UY7Ty30+SY9dxoG9d7
/PVp+tnPR+LBGeJESa/Wx9/fd4gwMqwyPbrsO6wL6zcD+F+en0+azz+dn0/XmrQcZgAspUczpaU8
j4E0OgsYxsNLEi1+/VV+ciiSwkgscE2LJqL4dCkS1ydVa8rjoxptUBiDEC4AnplzXsMQoH59LPlr
/9ETfLvsHy4L3Yb36h68rWnn2ElyLIw5HW0SZXi0WFPHbvXrA/3sS72//p++VOZEAmHu9wMZMIRI
gAhWvEfkq7j4m3tN/tKfv5SQymaZcAJsT8q03ilNDSvTc168GFuNlZc8dsPS8p5//XV+dru9O8Tn
222qLWol5urHzH2MvAdT+Q9uZ0lUcUxJd0E18/Er4Lq1GlPBmxuxAhpQ0cb/YPHCzMiwku6PzqyJ
Gev7k5QpGfW9reXHyXnsnfMWgb3a/M3a9bOLzk3M0FW2xTU5rH1/DChuDKjcKT3i2cA9BrpMs05d
NcuLBVSVX1+RnxyLPjltVM1hlkv/6eOxAo9hrIis7BjIPfWSRJdgXDolbdu1fvl2qH9lXvJJ+esh
yEXy+PyzKAf5qXcNT0y08Aa+NzU/gSBY0YhmtHnL8ALgAv5oeMooB/AdtEgRDL3N4H/veeK8Zbpt
4tlF+e7wjvon43k+xl3wx9LAoB/6pXQFSJWXLpXOH++Sbuw7s6EXfmzAkszNhlTAbryEVwZCTPjH
VCujZ3COGZw44xo6HtNrQyFD1ulflUBd0ZY1Z5PBQNQHmAWWlu2Zwz6MXLWnysd8NySMjNk+XDK+
8Ncq6LZ133lnwDDhBRXOU2uEV3Y33QU8e2x5YO3pBTHuxIIxwi12RkEGc+oAfDBEtpoS/YpjLfqG
cUzVM9XW2xF2u0tjikHEWROTSm+DmMWL+S2q3TOTKk81h2Pg15vc0YoZdrWTzmBlBZa0m0VmdzHo
tACkH2Tm6KBwcM4wntRn01TOjbKNtqpJSd4X2kbDSLwSDcb/mG4EM+3CWBqxt7bjhAfYSMXGK8zr
SuARHsWiNYxlW9TouRDsQD8ct0RVmPMmC1yaMdOtJb6BeUYKMcgs3R2YiXsS7MJ5EWFZNSWBrB09
OlodNAtrGF86lRADzVk5hoL5VQ1ufY3ISNBL9FfYdFAogwmQ2bkOhl7n3CH918+r21yxnmj47tHm
sKOaFjbG0rLWtkSanXSmUxSs9qXLGfIQO8yUHJZakpxXpri0Q/UpHibSCVWhMUZCjyCc/ibVzYeI
kkIvHHhGXWauilbDTzA4ezC/12BAs7k9qbdhF8HQz+AZGt5NMVTn9OSIVCC5oE4SyKnB16FTrguD
pk0wXDbAMVRbuYdM8ZywaM0sYG/zqgCePMm2gl6Xr844XqktsoPSFGdcpkMfOWwXiDs0X2mHLD1d
UiQZ0RWOlAeYMiwAi2PkkhTsO+spcqxZleVfjcwmkL4e5yDiHs225/7SaAemPlrErskPWpd887gj
RWWkC5MoOC2xd609bnK7+dYpwDL0wLi2EML5ISDIySsvNLVvcGUC1iRlN5hVyhgtlACX72i4cnoV
30YNJ2nKkPpZqD5mZqpfNnaxFEWKHTKtxBLfGpEE2L/O9Ta/HWqiErYGz9xDih2NtE51E/jstuFZ
3uTlGJzGvhJbj2A1JID1sEbDhpys7U0EmVq0HNuABoBSvNKZbwSNirJByBd40bhs0ricbjorl+Ao
IiFrjJJebF5lnkFrmS3gbWhG+dLU2iuMCnCXRhOTrUm6YE+73Y0izBZiPRZ9zRDedRe4s5Idmyhn
mWIApMdhPOSdFeFo4nFLAm5pAKHQpcg+Dnmtz5UwXfiuGK7cYrBnOS2/IZi+4V9HIOK7C1LeVipB
LG1M0uZE3OkyI390gWV2VZqI+4c7pfUXk+rehVa2ClxkE41LT7RptiGyC4zSKIvyiyRsV0WngIdU
anrNtPSVrtmZQUYIWzzAXbKvOLkaGYikbEbVxVC2NyIWm8ows7nv9U+1bd7muXGfqmiSdIyVUQKx
tSynSfZfby1UOESJk6VMm+m89zqBigELYhwkB7UHZI+Klyg/5DBlYz2wTS5meon43Yhfx6m8KSLn
tijDs6QynypAPHM1dY52I3Z2m6sgdgJjZpQ9PYiGyGrV057UIbp09ezAtSth36C3a2LnJu26ngfE
aCBZucGSTfbCnhQTnY+YgLeWi7zhWRp58pxJponq25puGaE7ZEi3LAK6tlM1Z4/C8wBqAfuhcJgl
gW2EtgXD1gjJwWgd9Jtmqk1LL25elABSaC7KaNW0IpwVhXqeeUIh37EdNzotmsn3HpUxPQTxdKOM
SHuQeTzDSY6uRuSy86qnp16bpKrDMFg4fvncs4egtUuGe55mN6Fr74OieA4JQAP3oqbXhIxvlEy/
wYuezr2Cq5E4KF7aWF24nsuq0W+dtPAIPW03buSHNF0XuM6smYofu+hk9hAd0d7iBaLap9EtT44M
KWqhrOnLStVGehaJn9E5pL1Tv6Fo9Dcszb8l0ttUWFb6vyqR2vSx/vNMWH7qfYkEY4R561tB41IH
vZsJmwyF0Yhg9tPfyI2/lUjASUz+CiYWc1y4WFIk/2MsLL4gnNctYelYx98mxv9AJcIA+nOJxHQZ
3LgUwmM/ZzT8sUQilDLLsGxrRytBLL5B0UvArFvGZ5GXzM2pPrnBdOfBnNPLJln3vrgjmBXUUuDR
BPXXwktIomHRwVgLBDavTnaXA6tT9y3BCHY6bI2hXkztxoqUByR/vAVY1/yjFgn/LAdWPbctCgpH
o5kS14zS7HH6lph4qMbWimcQHB4c0yOqwlCIVuybhylPN71OppJhdRdh3xjLEvoef6/up25gPsgs
AwgZZBUnuc2UdoQ2or6ERf3aT/o3V6GHnLdxQI70cJW6A4vaQF7AqNxVE0C8YUIiiLYULoE4z+xx
3CtmfGnL52jIEKMPHm8IymH+o361vNbkHwKN7LQFdmx9AXUWRbWHqCsNyAMm2ehZje+t8SKoSQyt
sRhYBKLY0m3p8aAuWFRHc27FuNUZjZKNuCiMsWcSYTTiUQvhZS/DAdsBtMMAdmQWb3BPlUvAmCQL
mUOxVD3cWjRzZOcNurhKbBaTyK4CuhhKtbvfNydGrqAwp6Q6dbkRrcFAlrhyE04Vknx0lmSLBSUU
5jSLUaSU9n0+VTq1BhJyszLdWZ5DQW/kO3cQBIp4wrOYsvTjCTWDCTYhUhcRQK0gt/OdoIWJOtAM
zzy0OYtetPUuwJq9Hip/nNF/xJBZ6iFNrcDw1oSPveoidwm/Ldt5GXv+RrOVp46ozBliYPJsuwRY
Y5nBi2dSvzFV+0UouTVrIfYumSvqs0qY20RtoUBbUXLhGshYNcLFwd+O4VKQ57I2EwOLe1dbazco
X9JBE2tLZpSXlZJcOFPu7zhzvFC8Pnt0c6aE+hiqG0/F+1bDmZ5lOsRiQ2viCumQg5y0UrKnYsSc
mwOAn9UWOsTGVap9D1ds7/dttRYBKgbgEsa6aOxkycUzIW1bryENANgoAaAF01jXUDIBpBEXSre7
oLAiMuBJTalcqMVBdKAqBJFBW7cszG5J9aQp/JaZDeayTZ545vxdFelQo6c4a5YBDAYVvaZLPlpn
VdFrAn51g7ZaP+VUgChnSR1vvEllJlyE80odrhNF8xnLJ4SIGSJGwlDeEv7iz9UJqFcu+nxZA/uy
uvpB8cu7JM+ol1zRL4N0AiaU4huIVEdqOKNbLcsvorIOv46COZce+AHTORcQTEEPe2pPpNsTo0Ng
8hygUbkVrf0SJN3XVvVWve8SVyOU1z5qCBjJwgc8IzukD/eD3Ttro1bseZJWchERZ5yKbRuL15zn
VGm5L5rUvVZd66LU0ETBTp5lVX6O9PtZt8Vdlyjovarhopkqd+tW1Saf6itgazekLXtLtaHCKdsK
h8sYEogajmtDp20MRtQk0CDb935Noltw6atACRwfVGubGOXeUqfHIYqwyGb6JsyDXex4R9foz5QB
fN0I4ZAnBfcENg2KnDCBfsHY+ilys+yrHTfRxjc6RktmC4KQEm1n4zSemXYO1d9Kn0RtsWapbUbT
vrzIe+XKrut+HcVxuPOZS84GMGfLGMUavxI14AgDb0W1iREm7/1TSst0VvO4nFr58Eyqxz5MHrQp
rGAZEc+wVkmGvUz8qli4OrNdVpiWvEGbHZIFB7EwtXE5RezkIKIkrDDOuB7aMVp6dWgw80rNpZgi
m/ml9VqP/rSIzWnLEPeoMtZPjeiA4TJdGr2qr43eSJaGWnirGFTTKnAshMkebDoT08lGtwdLprhS
sSUTE6ZQX+uGTCWK+G2DlKdW71G0JhkcLDtIZMIJq5RKENG6R1R7sqrOkjBWH762Zq+VCA9IlLLL
LYmWI/kwMWcsU7/FHf/bDZKCsL8uda5yFN50NT/rYeWnfi91fsmvtmg9ggY11N+0sj+6QS6ODCS0
qNw0E3Ks/IE/Sh2woA7ZJc53rBvtvn/UDXL4Se+6QdKqTU0lTN2lG2VgDP3UM0TUkBQxWqcjkS6I
cyx3wntg2O1zFeFyM+MBi5EXbxSPyIdIE7dew9DMq0DUEBP61KTJFch5MYNIu2gb+vReET61irqt
u/IQK5E/r1h32eh1lOtds4KK8hWbEpYyHYZKWpbbsvPnxhQejUbZMsQ9I75gplXwRVoPDVM3QhB0
aneThWwwe2XhUA80vZ3Pc2W6iO3Wmydhf6kbzYNAcE7ZkJ3GWNHoryrXShBWcyjCNQFE4cr37H0S
3Sfh+LX31RZAU3RZV0x5q7Kea6m1h2OCqwQ25Jjn+plamECwJ3OG+2k/WQWGjnbv1t63QpBMrttf
9dGOT+ZAipifeWe9iRwAa8gDMvRlDZrvEZuHBIy6i7YzaiLY7LWddeYyCgdz2bBIKn5xMSZ+sCTF
CBlXfBZOxSMRp/Wq84jI6iH2zwO9tNYZeWHegA6uctObsfCOddt/TW3QdrGjHwa3XDcm6fYAzGCZ
Inh1aVSUnnWMdWakVj9t2l5T5+MkSAITKzZGZ8BR12rjkn/mRqcsVanYsoGQ++nQgxZdEgx2Hwbs
3Du9jGYEVd2WNfKYOG7urQkRlJT4NnX6mrvVGdpPn60fbpKAsLOMaXVf48ODHrWpPUBddelf60lF
ilcgRUpseHub+CbdDr5lvnPle+OaompYpnm6g6YN/N9QXpBP7yc7W9lRc8f/t8lyNC9m57rg0EFZ
BFEDBiJKDmJIr+1DrhGeJdAu2DxDC2ooIk/a+pUezyZyKnRSZTBv2spnaBqfaW25LPI2xQ3IvrhT
6iutq9YIox/MUVsjUAJb61r7mujxeZOT1Zll6amNgnGFW3FlNtg+JyrQMXCQS/NWm8dTdVYINIlR
SiooHba17uf7GPJ0IlCtxSAzzbjfRUETzYNqPK8E59709g0SoZnyRi1s6dvdBVljoPySVEPy3pxL
XdZK/syV4EO1EOUl7xVoiKRSrBr4iLESUM7r3mvso+2wwEYEGGAzieJxsuG2tqunJm4pavP85PiI
K4L4pGFNchHUzJHELorBmUeG00GhVauVazXnmpGYfLkCowqaF2OIUFByrxIk2IP4dEgmRA06J6J8
0eTDyrBH5I76grzbr2zLl+BgbrjQAew8ZTuGyiErg3UQK1sC8WaMDud+hPxM8TZROiLnoFQc6JSN
5kTHt7nTyopUthFifDqsuhTtgBFGByeEpd5QgdNsXPcCxVCRckFuGymvHVqpvAED325DhaI9zpzF
mNaLIBT38PRjqvjg0BVCW0xlKKAe2XDcY+J/SpWkJ/Fc9yYPAfLywZF2W7EwivEMwO0W9TqkJZ2i
kHct19aaeUq7aevqGdXcEa/Poo7MazUkFlWM1WGCWE+RQj+BXBi0+FTR1NMrqKdXVuu9lKTvzUSX
bhvhu/Pa6Taa7wxzpbQ2JoFvHqE99D8Q+IYInRCtzwOzPeudbI/NmaYJuSWm7z4gL5k1trvBSIUq
R10Lp70I7e5O1YutpHchyXeWcZSw5g0Z+U12fmm0oiFNuEJz6LPpiTZsCaQn+9yzp+uSQrXUm5On
t7uq7GZ2iZJjEONimvSVbVdLA3Uom5xuUVPisvIaK2E1ezWbVi6qg7nAXFMW6lPi1foMmOFXgmEI
dNEtg4Q8/0KTEcK+f9Im9yBcGrsT6q2VPfU71cblC2hlHhc+BgIlFFvDt1q2B8OFkSirGIoYaKNX
is5VlhYI7pplXbnKijZhNu8VKIxNcdE47s0QtsE8tax2PqQWvMhIT+5jdu0Lv+heIzj+CHxukzbb
wqY8BIKiroX430KW08Pq1fLHZdsSCRAMw6okIyDWoGtaHY1b+v11Zp0qxctp3JMrYFd3Qznsexk4
ULepg4PKnTdkEehonYLBOtLE3ZtNwzJOaoFaayK+oD6Nb6m1e+xVSkYI3QSyzEV1kqjhVrfiCEYa
AQiMPb6Zb5EIXT4salISBDE3moxNoDjwFz5JCoOMVPAM+uENAxuA9WdN6LBQjgMDlTy800hkQMp5
b75FNOQ0b8lssFwd86TYIVQ61vawnWS4Q+UwRcnIexjIfSCi5ToJdVJIZSJEEuIVG/tjJ8MizMm9
mmR8RCKDJCoZKWHJcAlTahjtt8SJ9C194l31dPFnnYcuJ+AfR1MIFxww6haKfIkT+th3qUsAH6Mw
xFG7Smf32Pgvyjke9Ll4vL6sz5DVLPN5swkP1hqG4yZfBTvL32A6X7/9Hv+WswbV3S/K2cfsv2Yv
0pb055JWfvL3kpYYP2HTg4OQREPwg/9Y+2KbjBwBsiCmkUSK3wecODpkhp/6e4fu94rW/oLVgwk+
dHXMwrBj/klFa3yqaJlvCt3SyAukgKblTl/w003UjhaPsavgnk+jecIQLfSgXSc24iupUI+dcaNI
zXqEeB2+vZh3Us/eI2yn5soXCVL3SWreC6l+x7uSz3SpiC+lNj5EJI/365Ygp6+FWp6NuJsmqaYv
pK7eRGDvIbT3EdynUnnvN+ALpBbfQpRvI85HaVLPPUM9Canb711Um1VU3amD8zqYxLhHfXGV6tGN
o8lhSEzrv1WcaZmK8t5si3YRagXxUEq/ivwC1XKuECUV46xUqnUfK4jQPIacrFE7iLk9+AQvR+aN
mlRZeIP5tUg6ZTzRmHK7FfzLHvtqLu37ID3UAiO19PkLDP+5dP4XkgHQSRqALrkA5WgsO0kKoKq/
aCU7QGTJPJU0gVaNvjXgBegPEVMuiQNGc550N3qdO0yT4BHQ86LlP+ZXjmQVaEALIkkvGARiSZSX
FKJ5t7e9ut6VavaE6SOqiLoJcnXJVBDYv52a+qmM/ZiOoEN8xkhWVtAtY4dWJimkqgwCuM/M/Jb+
UH4spiE/kCswzhVHLDNHHA2/2GZJfl5r9Tplm5MIZzdY3j1taGZWsTHC4sNVnpnqVmMOhcK5HpHb
DvgrbKR9aoKBjN/nzvWbcNdJl3gh/eKudI7jOUmPSC+uGcsSHFXgcsbZtDffRM+N1D9DzECVWr3J
orXePZuwa6g1LmzVrqX7mnFnVahXPpNqT+qrJwC/JYJrBUl4iQDbipwtnqN13BG0IhXaHVLtxk2P
g8CYNOiAahFzmylXvsfJElktRp7ozkL17eQEcqECT6UcXKALH9CHF+jEK/TiFbrxsGHOLYXkGOgK
vCMU2hMq86EjOo1Jkb4aUKDbUorOJY8IkYleIjpBnZSrK6NvLQ0pYSf5jW4qjSm07WT+LD35omja
5Izh0GUqZfCjFMQbinkVtv1TptTLtL6uWk2bi1KcfJT0BS/orJh2+JhuVRH12MRx/aC9D8eIzhsd
7LCOv6ZSnq84NHekYN9AuR9ICT/Bg9Ji1D8KT8uXaopl0p7Oe3T/BBzf6fgA8lrBrDzQ8rOejELF
9yQdA35w7HEQlFV/CHAUJNJaoOrU+tJsEOIr8HAfRGlGhA29OmhtT500KBi9dxDSsmDgXUgS/hle
hl6aGvoq3bq4HDoJJZW2h2HAAOFIK0T85opAtzkyLpdeiUCVvgnF9h8inBSZFaFwkN4Kpd5gHHmo
8Vz0gq0GHozIcL82eDLS1gRVgEvD0Fri6Ax0+cX9KG0ceorHqzftg4vDw9VK4J3S9FFVxn2IC6QH
NZpIW0jumicDnwjOu5MujSPj1J1Z0koy4CnxMnqCoio2AW6T0I3vIj0++Gp948AFniWRetngT9GL
5CygsRWr7V2cmleVNLKkOFrMlEdNrc5CnC6DtLz4IwVHhAsm0ct9iSuGm2SXS5tMgF+m9tRVJw00
bdvdp3oJTB0xbofHJsdrQ2DOXqFRBr1B2Zq4cVRcOQ2JmSkunR5asJjiwyAa8oCnE5VRgzC9PDPw
9wwFt6wLDyLF+ePhAIqBnpultW1wBtVmsaMtv9WM4LbDOWThIMLPnNCJ9VadhXQYj1GM10iTpqMJ
95GnVwfILrtM2pJq/ElBHu9D/EoDviU0LrB7cLtqeanOI7xNZheuMrxOGO72Id6nf2uT71NFaoW/
q02q7LH69tPoA4NP/6hPsKBrhpwDSjTpWz3x+3QRD7rLYNE2VSjtxP9S1fxouVn8DUUIcXHEKNlA
2P5ouRlfiPVxXYcKhaIH2+k/KVDQLn6qclExU+fYqLDI4qH390mAJQZLYVdKnLoSU6Rb0hvtkmaz
taVfunuzTjdlU+HtGRUs1X4s7dVeX9bRDWbPiE6zNGBn0oudlQQ/qbR08Whj9sGu3X73bvtDOeHk
HpIu0nmCvru8DaBWJU0jaf9mPlbhBW/ejOFuQyxoZTEgn2WKoxIb7E/RdQqa44YcmUiH06ICttfg
fMKPioJVUUAMyZuk3sAqQvRhtc5tpoGInrFYd7dFKlwwT1YxjXMzI4FlrtTs3mL2TRdG3BWoccro
QbEK9sACAj8Il8Qj9UXz3RmCk/BsYisA09ibUn/uhrY3F7m+zXw1ndNMb1GAO+m5QzvtMqWRRGpj
rJtY4bJuA3/DIjundL/qTBomdksin3hbtfYwc9zQoucBs/kSHUs+zacmDTeEXk7Pqa7I5os51tl8
VHkJ6itYHRGZJ6bRYmR0O6NZWxUXBPbEoHQPmMI0jQkarSAzIl8gWzK/RJCGy72bOvoavTFNYsOW
n382FpW/dghJOtVVF31F11afhFM7ZBnbGsE5tRlcp31xLoy66C8QcLXORab4nbr0a5XMTN/L23Ib
6FrLSCXUo4c4qfVrQCYJ3Sq7ZS/ZZ2qYbFQjaxx6SoUXbUuqt2GXOqHZv9i967+wrXLWGP08jHxB
jnNFYEepFTJ6UwUdd+yG9X1gaEV1LMmI4RXVfFen/rurkoCjX69ci/DF/9mmig/+vmjZX1SXbYsE
BNKK11Bt/pBEsGihbJBCbgs9gqG/U40aX9jvyO3WH/utH3MC/Qs7NAPXPXhMCLD/cNGS6+mHrbk0
4utIyQ0GD0Jyoj7uqkKe+jrASneGbJ8JoQXdzm/mrW3FuzTk5tXnWjc5jNexy+rYLLNxumqRO/oI
sA5GGzmPcSBDo8s5xtSvkZNo2kWv1XDJo24sCPvuMnFM82ba+UabhFsMmfo1KTKKtdVqtVJmQtD7
ST3D28WjrdJpjeNIuwodkdCe96ekfhaZb/dnNO8q68R2bN3ZWfLiYRhc5FnYsk0xUY2uVcmEEG94
iKYcm62Z6OxEyGCO0TupY/t1Mp2WhIUyUPc6Gcb7qiwjMc9w4S+DgcSJqqyaZauO4d5qRvPgeVNB
jUNAwWNbZ4FAy+UhB3NMKtI4C9qLQLceUeJ/xRj3HNlUjwjeaaPa1kvRpC+2yEl96NLS/IZnHJMu
NsDS77fZpFqrJlZaiKa+Pet0lRC2Pm41Ui96RrzUo3eaQuSSiHvveaAXuKmNTN8GihcclFhHTKtV
qELLlt5PUZRrE7n+vOp4rNM4Y4LtMl1nyInGE3EuF7dY2A39yb72Fm6T7t1WQAn2KohIljVtYxN1
QKhjtTLpX9OXTWeVT+/IGN1ontdthl01XhSueHHNQFm73bRJNIpBiB7r0UMrqdRpjOywYg5rDvcm
sQSLuJ+6Ga/bda4J7HKkxDdB1Z/HxtAQq8GUXSTWsKjQ1i8jpdCPqh/HV0Q6G5eZbWcvkWpWu7QM
s7uoIyGC/iDhDl20/7fe+l5v0Xz79aq1qh6z57B+/tnKxYd/rFy6DlkOxwGuKcfW3gqnHyuXbnzR
WMzQrDPlRLn1buVyvghdgC8Vf3zqx8oFJ4joXssFyAHz9B/i6D6vWxaHZ1QK9lb+UMQwH9ctK1FV
N/Kq6Tg1d6XrQTD77b32l7Yo+RP+aFq+TVD5GSATiNKSk9xPKyPBaHYxFIZ2rEF4VyRXJQQwWWQw
bN5dAHY0ZD5l711wH7/Jn4/zqTlKTkdRVvjej1bRzbXq0Dvffn0A4Cm//iafOmc+oiLSXvkm+uDM
OvPGQVOCP0koQJG6JWq9ed09FIxCwosm92Za+EIp6PsXen5qsiuf3kNT7m3LX7qEm/gmY7Mreuak
UqR/cyrk2/CX55wb672rxmDggwpZngtjSZHIKOKu7dDRaOaxRxbtAVwNx1dHQbbHf7p2OP/1qZJO
jT/9ApgoLFtlgE4h/0khmLm+1jByGY+sOOSXaaJKDjEmI6QnhVkWcxGpGcQH191VQz2z2v5SQ2VL
nUbGeacqE2Pxkk170apYt31115MSWK2T9F5PjV3vqTWbSiXSbgYjjdZGLCIXmVEzy8iJruxqW9D3
wgq/0pqRZtC4DqZjZ5P77CNRLhXSYKZ1NYiLVL/A8rnywAPgLPDr69p3zwwCSirisToMaDrJ1OgP
5s6EkiQqFjGJIAXCKJvJ48SUNxw1Qpfbg6Omy77YjOV9HYG4IFig7LO91pgnmK8RgbkdfrOb1Epm
hTEZy1xcN6a9AGHL2x0tihX6Jk7B0l2oLlKZPE4eGnx8aTpVM2GRek34zve02r98KqW89N0VkjaX
Dw+++elx6UNRR81QT0d1bWy87XRo7ow1QINjPdMOzYb3+NJdiPm4MuY73iOrfDE8KNt41azVtX0W
rqKzv7llPvw+f3582Xq+v2XNJGmdVN6yebwljTnrFxW6hBUhN78+zs/uzPfL0acFzw3TKQloZh0V
kLLXw7dSxm7NUV+yi/r1kbSPp/j7V3r/EHzeyHI9KkOE+jGgmX4BXKNF7k0XqmYzNPeP/d99tZ+t
gBpVqHQ1srf/HM+Qopx1nMTQjz2Sjmx66pSLX3+jny2A7w/w6dzRMmYP6ev6kbmnVNr2KMmHv4ud
+buDfFplxSDsaWRSchTdfip3jX2NmOTX3+Nnr6T33+PT8jjyrq6IudOP8ODxY6GGtS9FhERj+P+z
pzsLn6u8zl+b/yt3i895MVahHzT/8/GP9fc/+y/54rF5/PAH0sDoi57al2q8fKnbhI9+Xwnkv/x/
/cvfdFrXJHz99/95/AbalXFNU4XPDa+Xzxouycf9dXl0aMP6v45PYV38rEDi4z8KJE18YVTGSFPo
qkuSM7f17wWS9sWAlEisplANKXd/34+iF0XJxF+4bAvlKO1HgWR+AYHGx94iD942hD9Ox8X3MoIz
+ZcL5ceHinUSgLDL//wve+e1HLmRbt1XOS8ARcIkzG15X/TuBsFms+GR8O7pz0LLTLdGv/5QxLnU
3Yw6yCqSqMzP7L22ZfD9GDj/6UNcofuqmYcFVxgJi9og0e//l36E3+7nsw/nONoyvhFgYgrF73Xg
j2dfpivhFek4XIAY7emJUGPAkKg2TjacBxNJKw6jsd5OXKZrWyvYO+mNK+8NSGWKbsSzz07leDUT
IL88t5XmlsusNe3ybNsa8VZWDeBsJQqdTVkNMVsVvSh2CfGLayAIYjswDNtWgF3WPXFQ2yq0ynWt
ei5Wm6l23tk3MfxDAoVgQLaKbOdICwBsB5WKtW2eYUS/z6sp/JYx29qYv2IUXHTQa2CCM17BS/l/
a73AM7MOvzMYsHaxQCjKobxtEH5WEVF/k6bLhTaEL2aho00IK9ZK0EcSeEhmV27ZDJ761tYXTqNd
2rB7kon5UHr1fQUcJ8i7J1ui73LtEtlXZJ3KCrKqVZ6AEO118jZgVrXRKhjsYw8R0hXIiLpAEZ7K
eFBQEk1qPLBdeC3iGEBT6sA2U+W1iux4B9381A7iS2gnI1IU/IKWD/bVTXX0yIrwNs9bj+zHFg1n
PXWdmW2aYUCXZvrTsRyLY+dr2yFLdo0WBdssldUKEP8ymFAS9dE5o2Nb+yZQsyAsttNU7X10GKEs
022MFmFFfOG+mqgnA1yKeT1UBJtl96pqjqGJcFUbhf0xdkkNiCzol4gHNkPBowqleW0xnWTelRPZ
5e+HokSFB0ZPJ0AP0IpLj+t2BFjG8l5ao0LRZEGvynOk3b6HG8G36DPH5lzanUaIOKgssse3KhWf
lt1+RRHobtnZZUfTI5tjESYyui1yN2OxYkUSCA8zf0fXDh5ziC2yuQ8kWfvJJl5cdx4bmuA09G00
FRU2KtDMpn6aMve2y/ONR1p1XPnrGeuR2X2yA5e1dfsGMZXJL17mzq4W3bM+IfErZDBbDN+Y+Z6V
AGUUVcOBruZm4pt2OishBEeTpWNh0N6NWv/UtGFPHvjJ9LWd5zwN/ptypwPMHncjSZitHPlYTjob
zuFLx5yjbdyGXWVyksZ4E/ixvjSNBNl04r2mgfFqsrlfVb1+8qw8WPbWtQx3xKCGy3BCqS2ncuOE
2oM71I9W0q2HgCJAhsGN1c3Y+Iho86yD6UbJg+wD0nenPxVa+IAI7VEryCLM+40TFN8MZziUnnYY
BoJwUV0fmLhsUzttFwj0V6bSWWi2VnNn9fGBn+8oY/FGsDx+GJNmCx5huDEASl8ya0h2g5YZr6p3
nZfaVQhAh3H0H7PGT+4G3yFRdUh1PBw+WOuoCVelNrOwSCQmOgBQW2loYtXzsUA5JqNLa02s6dOq
88EpF/b8CUPAgnTKIwTeLX33y2RjwQul/aTVhr3uavvik8q4xgHU4Ubxah5msnO7sU2PowuXKjDk
XSMIlsLtV66CrnBZu8dHKEn3WZEAQesVnuWiDjaJZ73YNmA8u1uVLR5oZ6jzgwuW7ewXLL+HCdVY
YqsvFnFECLjGkI8cq3ZLPoigQP4Wj2RPjMEpxspHUqd/C5nmSzt4yxjDjhsbJbo2cT/nWphm8Va3
CSP9eNfFzTen6q+ppHMIfFL3zD59NeJ2AzrtTaH7al00X5bOCMjvZ/p3nSOLZ0tc+3I1jhG+SWcd
l8ZXJKrDtgAiFOfda4e1RVoN3MCofasbTMQVf+ak3xi+86zn9ZNs82epKzR1Q3w/pOMp9/pdU7L8
1/r4OQjHfdTzER2Gc+dn2yCjxRSpfdc005XM+NchlBeF3dq1uuceDbPeIxdygHp2lsdhIYCIWGgB
7OQNNSDu5dje0p5g30kBijVutA/qgQGfSaxYLO17feKvVqeIFYLceSi76NCYdrOsI/HKTXAsfUp4
Lcpv4L01OxUHz5K8zAW7z51EusVxgxNjgMzHT5+Fzgkk5K5KgoOONdQr0EJjAC3c5GpKd8cGdVHX
RFZnRvKuudpK9tGuhVW4ILv4XTTJgd81BschXzBSOVjteFsXgrdpEdchtF0l7TeffWU3Mpxrunsf
wiTqmGlTY01aZFF4gx/+my8wRI4sLYUV01tO0dmTKTLh8iHLG/wKudqBTS93ZKuOEOdMbFsGlMDo
zfbVUVQmHmhDNUjyhL5QltXfIPRB6wnucZ241UsuwmCjCfcqsMjQ5pblsUYIyERvyDZ4wz6iVMtW
hMNpL31h87ywFFqPuCAWphWlX4nidlaGmYU22g7j3If1P8yPm+E1yHENtPYSVe5/JQiCONfRR/va
JY7BzT0l3hdL/iob+39WUn8q7P/rJeZK6wfmyshTbCctLyFKSHbOtS2uRMn9UGb+Vr39OAT6U2X/
22vYiJwk4FrsAz+/hgH9ALl9FFxFzy3vMNUCz/VAjvbfv8yMh/lhpvX9ZXAdGEwsbGPelP78MoGK
wdsmXXBtkTCUMYsiEHVa+dhaNzOi1K6h9MlfkTX/7ofMv0WKkPrxP+f35vOvmogfqSLGvB8iaJMA
zBmtzj/90USw6jHwrEmSoCDN/NhEOL+wuDYcl+mnoNL/EazuzKNZBlc8R/8nU1bPQN4nDdSbjvHn
lTaGhLbMbOSjQt1UBCmPgBr+0ROJT4UmBEq05CecESl/amlxvSVm67TttbZiDvYnTVw9qIvWTvd5
JBF2rf/+9Yw/bbzm6cbPrzh/Rn74OBuIoiJOqRa0GelG7vdQhvF7QIOasxr6SrmHrsEYYs9JDrWN
WwEbaukPvgS50HAHzskPBEwYe9tE5DKWsID1mggT0w1PUuHEdY1kWVQCxkTyzRu0lzmfTemE7zoK
6EQcVDOyAiuiaYRIxDhBYVZEAUhZe1sTwb3BgmNuApqkrY8YeBmBH1g4FYUZ2yOYfkbEusRdFm10
53bd0ZMmXpqoO2mlz18pjogTRoJf9s3KGs0FzN5bHwI1VYG5U0q/6WASoKXY5wLxXhIHRwUWBHvG
Y4VHksCVt24ybwYn3HXOVK/1pt5GDdbSwj2EkRwWoa16UJJVvfXD8Uwq1XTvoEgm/0SyZr9X2A13
NqPSGIDoroTK3NxO32enbVYN6poyEmxoJwl2mpAJ1FxS9Hwl0hz3ZLPnAyp7Qmu3HxJ2fp4PJza5
jJP9rKf4BOYVNtxIc1MRc07S2dcUh+y6l9Z5KKyDb5irLilOjd+jAR/3oxndCOgvuc89O4ynfhxO
rVsRGjJlYhnI/lh34pm8cxoO9JRZPj3KlLGmn43JJWrzmzxptngRLsmUHARRaYuhsKH3NviQy8HN
WW4mMB5AMmEreWSzidpOE8HGyIp237Z9gwHQwFQeleMpHRXZza5xTLOvntZfrdC9q1sIpTrbV5Cz
1UaHzumn0U2ba/d9BxEDodRCzR7ByEMC1Xx1QrZ6uh3fGhBEvTZrQXHokH/ngex427SK45wVgo3/
oa+6DWaUFdYCmChipZRC+G3dZH5ZLvsBSV6TJt3dMIZ3BCLsAfCs3MKdlebLwZEVtFGN0R9y+hzZ
KfkHuBuRL04Mm2Hg0SJ1nwJpfA6Xt7R0KJCOB8t5TuAyIxr9fqH7wU0YdWdLxrtSZttByHXq5Mt2
8I91rahtUFxNzYzZvXDDrwykYHxsgToEDUpTUVM++JvSM5+sqgYmBJaunFXwhIiPu6SX6b5Kc1CV
QcumUjsk9fSAxCKEjtVcokrdxx0+7ZgbDbMZjjPXePfa+B1i9VmVKdFgMTxJpHMjTuU+Yx3aubvv
x8y/l57FDOhv52dz1FX6Xr3/9+ht/tLfZ2dEBDA001FeSVQHNJs/XXuoyS00CRJJgjELtn7Xcjm/
oP6y5x0iBkqQWZQvv8/ObGZnTNpgVvKcMCN1/4mWCzDXT4XSPD2bFeIC5oQkVsua38SPl4SjB3qa
VlKR7F1BjZkVw+DTR2SfebYwhkDf9wQRpQiM8yxHicWs5TVDfExbvHHRLipEyQ7inlhq10nDfm2R
sJgSrHZKZyUzH62nEWmz6xXAT2r6aVdr1h3y51+pvM0Ew3xWRavYuR0CE5EvZpFCrCG9Aip1JdMw
nSC5iQ8Zekmy5UI/TJeJ5FDKRQM/nAi6Ka6KhR7AXCX2YPIVHbUgr66dk+s0IuyGER/hOGICB5gi
V+GcdNd14rGbo+/gC/UGWXiNZyVL+3s+HkF5sPjDZTFn55Vzih6ua5xR35P18vjDizx3Pc6pey0Z
X3D9GJvklr9P52w+koPXKtfEVigzPUqp9SdSA5CVE164tKr4EekBrVdK9hRX2FVh9p7j/hb9hDjU
bh8YtWGNT8rHeaRZlIi0ESifrAHIkFn6LfL8vF3lWlrQKIty6VX8TpOyPRdFTB73qNLN1GlbJCQH
EIpPWdwxOJ83ij27rKnXd46JJXJMoq+dbp6DfLpMRtYtIcGaOK6rl3Q2AbWqZUZXnNrQxeYD8Q0N
X7vUJnQNas6CrBUtWNHE+GsMex839m3ijyF9dt2vjClYl1bmbnpNfZQGJDJD1BfDhDtRalslshOZ
ZVfKkqNp0uZmVn0sO54Zv61vyshuFoSV6UvBwGFt0f7VTG1qQiHL0jw7MmS95SltSVyWQh+Sr5JC
21axxu5G1ecJTc9CVoxMWte+o5U6M7SdYendgLjccpYGbuGFqaZokVoNS55EQGXsmWOxWRw8YJZd
nJ8Dy38by27cpJq7DRgtr2QjnqwS0Y9ZOoA149VYNvbKjYLbgMGSPmSrKRguZe19rQhFZ5ZX8zus
7X1Q4kmabHlq2voaqbrUbpVy0ulzHNJk52QZ2pfiCUAGNmFMdDVm3XOPNeDQu8MXlYi7RlakZ40o
dnKAC8GGegyZeU+yqbaphHFUaXiJlDoMcX3JSRDucmZBRGi13Mdtv7d9+Y15Xksl1pvWNmp9B3lT
3k33hj2dg5LKRsd8vAnmaqc37UNM+VOkODHmemikMOopkCr5Ws/1UtZ6jzk3dUohVRkVxVcj9z0l
VlBMN7jSdn4XEcMo21sOO1B3kPgNCcQqIm/Rp2AzyUJA78r0l4GdoqRzdGfpj8H9BGsN8ABVXzjX
f0aFU9vKnBwzq04BNNeJJgVjOleO5VxDGnM1qea6Umt5cogCQfY5V50Z5adLGepY+TdFWZrN9alF
oTqh4ZJ6MqMZqGHlXM2KOeCM8Lcv7hx55pF9BlKZY0KIG6y8fBjmgDRQB5/mHJkmyE5r5xC1zB7u
4LsUe5N8NaY9IL7Ey0juGki7jTcHsWVzJJtrEc6GVeE5n+PaEnLbCnfcduS4iaK68ch1E/g1nDno
bSDxLZ6j3yI72ak5DA7N2KPb+iteuVuanvWgC4LjwjlCbioJkyvmWLmWIYs3B805JM5RkO6GOYIu
n8PoHIDKxhxPF81BdZLEOn5WhkQJ0SYeiSvhHGvXzAF3UGPXKEm/Bd5HVDh3dWPeJXMgnsFHEGp0
SvXk3mSNsRFzeJ7fEaNXzIF63Ryt13fxNiyZGkVz7N5I/l7Et3PnQD4pg0NKQl+I/B6BJ6F91hzf
xx+UID9juBty5P1ZEa7I6dNXhDXsYEszY2Ycsx/IEfE19JzmMUROiBjWecNsEhFBA6x6IEkwwC+q
heW9QcQgq8hqGYR2ux7m/EGPIMLEwKmt1eYW5RXS2bI8B3NqoWEU9y0xhtacZ6iZ5bYl4FAmxYWB
ZboviD4MmuFOjGpNAs7IzMc5KkISNV3rH8JpbDc9AYqJ1w6L2nFuGYrh559tNf/WU9/lWhaTnr+p
p8L3uvmrUoqv+qGUMjHaQf5Edg7nmtHSHxME8xcx066IWgO57P6gMLX0XwBuUdrM2aGMEubhwm+l
FDwuzDKm7REt8hu/4k9rx79bQ8r/FmyA+uVNEF8q0XWyLP25lDLmFy9SUtYFVlNSdluEGlb/xF4s
2Daldi1Celoe5HOSGgMmaHdXjkBfXJLAVlANPzkTmWl6DzQnGOF1xCaj6WHYJatHuebOTduN3fhr
+DO7nksrI4qABX+2Mk39tZYNcCgaA5MhcD3wGXfiM8D5TycO171nrhst4NrXi3M5WB/YCxisA8Mz
awVAMcraXVxUu8rz4AaQHGXIzUTagGbihtdlB5hfPToMKXojbNliWRF6HeM9RSvGTvYlhKK/cXy/
ZV+YjdtKT4MlcuAQ+k19kAMrR9cvjo3BOseM10kY3/tdUyzxFfXrrhhuc1x7i9otNr2dCeJhwIyZ
DsnQk9tPK6zH+YLwyatnpl9hTBXbEfPxIgo4zLXRf6hSRQZjO6xE3mskPcbnxCK0IULbCaKpSJcQ
W5EHDaAsnNFdQ5A6hLJhadenj1yvGgLMnANI3YYgQRa56x1wAZBmIZuzlxsPJXcpRfEtkwlt3c67
FMaXWzG533Rt3u0Z+S3pztkCFMprHOt3Y13gK/cVMcTAF0mdMh+mLHpNiBjpU24VLElM2SPSejBc
xaX4NsdC7eJpwJQUteMapBhmAt8kpit8DmPefwClAzsDan8b7H9rs10pctPCftZ+qjjZa3W66gPo
ElFNynKjU4FGvI5AtTX6Xk7cLMnlY3Y3VNawVG5Be2uSAhAAvSrzhvSU0cOPCGtnCZTR41ROrG2m
2qtSLusMn797TTGoD+VCZMWr3kYn3NSnKiLKQQt0dpQ2V5dlgJHyasK7Ms0klLkptr6pLqiJiUWR
zj7VagR1dXQRsXolfj3alCnrR3KYVgP0SrvnjfYdhkI97XalLm4Mo14Wsp9FwAiYg3ZPQMBjq3Vb
VefYl9QGrylBVVlUL4O680Ah9tQQaUiTIboXNiSfdWcstXjY9lExssAp00VuKwD8/FSjc6MYGi0T
r7t3k3TTEIczXZru7OPxH4W3D4b8qsv8xuj8HWukq9ayROxGvIpzFksL0J0ZxESpS8tkk1/AAxr5
S1sDn1cyvFE53zTPZLEEnZNRpzM+yET3LUyGZDVkprM25h7eTOovQ8zCQLnfnHho90orgQK3nrfV
c7kPdXYvEx48ri4GPAs394Yty0OyhAfTXwI16zee5lIhsaoMhrA5KD+JN1lnfW0Bj2/aMPmqzO4F
H80HXtp4rWpsa4HZ34wtrQLC5m45NtAJOI46c8n6ilQLgiaaI2fPDMwruNmHsjRAXjV7mTP22Jjs
EOVjJxLX3YZWxdLWGgs+S2UOwcrB579222DQ126uWcOi7BDk7yxXJw+xMuUUXXANju29J0jauu+9
SjOP7dCqYy/xpr7A6jO6a9IUOxVQfxQx8yZlJRbkBGJJSvhcehXc1RiEQWoMB8vK202lVcPW1eyj
JDp8RYNrQfOyP6BD1IyvbBx0sfWSaLD/QlLNF7qY7IOpeJiT3EVXiRWcilW9Fb71jmUX4oCLPNCc
ym+NF1J7YeClYO5ZBQt4cVVTDcsxGc5jUa+GyIs3tB9nK69uNb89Zq56owLG/mgu+2GMcdohXQgK
Sd6aORzY/0kBuddziveIJBp7NnU3Bvgu2nyidpv+Xhjxxa+9kxaPr2lofJt0wXcJ5Leky54wyKy0
6WCMA2xTyU4+qO6SuUkXIcDjgZigYxo6Z5Gk5IAO6r0Ppn2ImZAwocFeltj9FjyMF9uZkcrSIyZa
024ZXRirnjg3xobteRIjM9bBX/JbKHZOTtdRs7LfmlbH2W4V7PEjh4AZ9nQsoh6aZDXJ4NmosB+4
VuyvQo3Aazfxel68ahcznNacPH05Dam7MvuI/bvLYDQbin4NQuNUuI2xQOIQLALduUZ9fqbWy5YD
hCAPGUSd1bugbd5trx/X8PruR+QmxPvCL/M9LhD8po9+C3uw7fNn5hCHWEt4j+300pZeSKSSbfEM
gF/CgKItK9V81p73yAG9EQVi1yxsFkZg7sxYPbIf3WoRVJMuEPuyN286t7jzpPoScdEtcJNcLIHK
QPK5gx/tb/1Jr5ZSVMTYdVwJTR8sMPLHaCySvSfHWboCbco1ym0to34ZWfU1idobKpFNbjRPXabv
igSqj9UaPICtNawTkXVEUbklPSFJObD5wqVDl7uyk25Lvo++tel69g2/0CU+lqso6pj9WXNoc8rY
0qZrqIfHFJ8zUhcuQY6sjRZNwVbrdYKIPHs59uCyiRJNj4Fu3Ng6uCetxrjS5CKDrgFWroPihiKh
9Im8M/eWFd2EbcyiQrEZzRm4cMhxwMl+N2UGHwnp3hj4MYiZgTptq+EDbfAz+R3XOnc+Jsv8GGyx
IbbwRSXBC3g7e9WY0d7Piheh3J1pVfc9Y2Iz1lBsjMlSpPBIqv59hgS1jvHpJVhp2uh20kkA8Bpx
n1vzIa5JaMaEJ/5bdv9adrPE/ZuyO/qs/nKCyVf9UXaLXxDWUXnPRAp2zww3/yi79V/4KxsOFSYO
4+/Dzd8nmN4v2FBdkGwS2wKByHzD3yeYJAUQiIEdleUOC1pGjv+g7Da+2xP+s+plgmk5hsNSjSkq
CQN4JH4uuyczzEJDReJqumCZ/WxCgqe/qeArScSTZPRV2fmJkDby/nrPOPUF/72COW/r+bUtC5JC
g7u0RdNRT6iptGFbJ+FLXskt+cp3Zu6eYVc19Hyvum3hFB0IAnaSYyOR4tBXdpwhLbT4/AHBPLAL
T6TLkny1FSlNr+QBc9YaRwloEZrX+0R8ph5PL4alIQAcGkpRmuIhdoBwRbuaFeQizqcX+Eq7PkwI
9kuaeT/1ioH/cXLVyYuhaHCKLxJpfNM49cqqfUqgUSysVm4qT9tMznQTedSY/GTbwiNrjdKKUVVj
E87Kjef4/b6JmMFoHFIBIFWnZJRUd3DfM/ep7GlMZjDBfmoTfUGW4TEWKUqNXtuBELdwTFQ+FlVE
ZtawN/SOlAH7ri/aO1hv1WMqx/e0YLZgl+4hCMWzAErnzgbQQgxnUtbkog8cbS3jfNd0Wrwc2vZo
WfUeDxmSJF8eRv0r+ra3wG8fR2a/0LXAP9IHvCUC6HvKDJDIqU/TYfuDvuDxux24F+CcNLYoTR3A
ieo7ey2GcRfX49Z1+3XRRae25ncWBKmFOCOIbeIHEUJWl2aAgbT2nVhtG8kMDJ1XNKJFK0SzVy6z
5MYBKKUbDfKkUomKuu07vbeuqZTf067smX1Ko+GMFrB+h+/c38xQ1WpMYckFDEe4NiH/tyVBE2CD
85kfzETaWJkWlFgEKfyvHr3WVH/YM3fYS8pveDZsSnemjDOb2JkpxYFM7pypIBPBdC5aaABvIqkW
7DO1pha+pIP1mrtQj7uhuy9mDrI3E5EBBnyNQSRTMnxODTugDnhyYANEBup4FjNXOUEvW82kZZj7
5hqHHdkSM4XZS3ZWWL26iWw2MC9Swnfc17FhmFNY6CghcH5lxTdDafqBJ4e+IZ+pz2LmP6eBdgle
026VA4YmHOyrBStawow2GOXKZDraeb6NVXHbmfSm1MSPhYUF24Y7jeAQgiob1kDYz/5sgZT8F1fv
n4OpvI1gV4+WVsP4e82lrCGzaOqIw3yKVnwrQI9OstLYwy5sm5JcC+tlWg3AGXr+4kgq79pRBfsk
DGc032WqisOQF98IdIcsYXU0s+WYVB//3iu/3iuIh/7uXiFHcVTtX+zG+Lo/bhYdILqNFksCNED9
gSTij5vFJDOGtdRvt8csZv/tZrHQkQiPOQ9zAJfk63nZ9p+Bjjfv0dCC48tj2+b8k5tF/x439PPN
Ao+aKwzGgWXzVv400NFZSbRJZauboRIUbh0YQauwSPa1+l3oUOF244jvU/TcPaYUR5FmDCtsEiTJ
JRbqJcr8+oyknImhaZb3MQXpTg5tfekTv/haNMgAnZTjKUwd+CPMRslSYWVussnWhpu6ypprGcfW
qybsZqP7hnSXVGjkceZ+fkmCwoN8Ht6xTADgpiPkNYKw307Ymx8bd5R8BB1KLEO256YOnX3S5rjm
nVZLNroc1ZPZCvbxZm18KtmmL1Kk+S6QNR/lwq/fO7IH1qFwo7VTef3WiXtyPsOuuO0J90uhybA1
CIpVB30GRo0GUu+DxNrQOuqEuI3DBslsu0UA3GqfVuDF4QUyCjTH0q/z6uqEjCGcQB/C+zD26B76
tgasTnHr9BcXGDji7sAirwJ8NTpYfEBdATpV0p1GR1vLGcPghx6/xPA9oTvBevKQrbzafWq+g5yQ
Cpk69E3GwlwprT3eN72a3ucNKJtGIv8AenOvRAHUcL/ogi88SdESNOD07tfh9GlHw0ullZs8iA6a
w9Q90+mVewlWRiv6AM6c3o7bBDkspXQznhI1FCyJPFizQ6aQWkd9EG3qrAHDyG6LgU1SPltOlO5T
T380Kfx3hYbELhR9t5Bu1QCPr+17NyyALGqN9wiYy75g1RYrbhNPMI6X6sGvRcZUI/W+aE6vHcwU
VEIxZFfs4Nqqarph22laPaz7tCybFYnQBf5BVe8BrubA7t2a/nOy3wLq6dXkOfHjwLjg5MRWfK4Z
PLzqvqOW/TTrYJNJvU7toB15eIHbOnl/RcvjvxAD1j/mcUUsrhrQ5hBveRN2pHDkgEnSVW5ZXY0U
lNzYDpoE3MNB1qugovMAMSvtndFR1tvsoFKQQkNv3o52BSlTKFv/LFQxbcpZEeHRMyyaHgrXv2fx
97MYNMLfnMWv7Ze/GKzPX/PDOcyRyhGH1flXScF/zmF4eKRigtaA84wFmiPwPxW+ze4J2gyOhT/x
ZtxfsOTQMfBP3+Ms/pFGAS8RFfxP57BDXUN1bTk4irgvZk3pD0K2tKkawVZIXJtYvTDTJKkgMbWj
obXoEVy9uJWqZ92fW95lSPx6o1gqLZvaOlRKMlfMGfdElidPVTW1TGqTGTNmb7u+vU/doTjPa7EI
YCZZuKsamv3ayPodBOk5Q77feyS2EGEvVohwtu1sQ829MVs6vfXYk/NiRWH+UAYB4blF8QGohNVm
8VjpVsEOk6mdTV5MOgfHqDlChoSD3TCHygSTCvNbnFNbIrasG820jz5T0HXTC3+Z9ZpPUlHV4nMp
b0a/eXfa4MPPXMTmYw5UBd7EnnEgtmGl3bGiS2+8BoVVZqMzSM0K3itIrZUf2daSuFrOPJ+wisHC
mOKZX+vIvsW8cnEbEhuKMHmJDPOhUV6x0mLjs0jkgCM5eKxIrI7Ket8y1mSxqu/80vsqRJJTSoW7
xGNuLzg5EN9neXCMJ+9Bj5kYytnzURnioXBiIsn4IzRh0SwBxMOFaABJtPUARLZ+4cxHSFCwIS8l
M1BL3Lippa9CP7qNPARNWta7/WEcEb6PlGmCck1QtrlTdOzmOs6M6zvGstVikIIrucrqJSGYi9hO
tYVTpCtn4jhGRselk3sGO0sP2k+ycxV0tyiv3atnFOM2RcK46GwsSHnpsSesPo2yEwvyDoJbrUX0
NkXyw2P4dClH41uq5GjTTyqxYrPpXdKwgkmfV2SDJ9hcGpklmzwlFStI1DVEPcJQw70ihGA5Y3OO
B6P6xnzdZDSoDm1lXDj00Iqhg4CHQRSv3qIp0aW2jYcOpLXevtlF+ETYebusWm8JVjBfTQaSkxqm
EQz9WC1gXj85dC26r75kgb9tddM6WLl2q7vFN4v4xDYkfBsR3zJP7GopmgpOE0FdhZ0dhkaurcC8
jnpyBRM08yqYXgsVP4vef5QZHDfi6Qhh1JzHqgkkb9s4+YVRY1lqsZqUGTw9Ie6ysTkIUtrLJL6L
omBtt+lrL6ov0qsUGjrWW2PdXdwqaVcIJEieE/lZuvxypaUdyDOwtraYRTbemNA0OCdR6h+uMZmr
uhmfC9Og0NILJkkTtMeGjIhx6PaJPwlmceLSp/2XkN81wQqFv8xtMq2VUbyYeXH2AOHartrEVDkL
1/A/GoFdp6LL1tK+RACo1DKJ2+MwJuVy9IjRy0f5tZn54iWNcObGp9KvjGVUZMkyMYwtlJE3NyYQ
gX5cT6YnXatveX/4gthKe713rubFNm94FUxdv/LAdbvgpWE2iLvaM9/GxiuuFDYpSldtOGjJqO1V
1oOKpArskvLeolwKi+TOtXOJ/AgZDfwmv977Dt9lqkK5yxxrXfllu4pNLd1nmXEbCwNbHRXsstTr
iUA8J4FqyUM8gnNki+9cAQJDcO5xwqGdShZDMNwSMQLqXooPto+/pZL+KwmcNdt/0/M07zS5KZCc
v+h6+Mo/blvxywwTIUDzj3vzj66Hhmi+ZC3W0jPx6Ifbdk5NcKQBDYnVp/39n36fpyGEN9k8z/YQ
4p8N9uL/YJ72azbUT7ctikBkia6LWh+hvuCt/3jbYuAxk2pI1bVl8zidwa/J+KJbguyxhriEG9g5
XbPEJXmRRXmDROzDou9YV0b20OnI5ODGnkqjekUIfEjr/C7KolWjGdgXY0I0pTzDbeaT5vTbwCSn
vqqTE4Xw8xTnn15EkqTqjJoAJ1vdymDa6BlC8hC6Q4uTi4hEdLBpE5/pKxYDG/9VZXa5/gXUxALi
Z5ASPEOCwJ4Eiio64ANsgm1CLs+0EJ1nI1kqzBhvoMainpzKYu+QfLItHULsUneyHky/QSfjZ33c
rjyPbuZUxVH9Gvc+O+LOzIxN13bxBIw/PjoEEkHn9WTNMqOS2sqr3SreAXHvpvWsBWX/7FPcOn5s
vjIm+dKCnVr0af7sFCC/G1o1twOzW0T2e+EDmnL6ks+lm/Zs2dQ58hH3GfjMuKKjdTn55Dmxxld+
92gI/0mrpn3jaHcd+5K86/fWmK/IDvxf9s6jqZFsTcN/pWP2SaQ3i5mIkUeAoICymwwV0Om9z18/
zxHQRYGqbvcVC03EzV50d1GkUieP+cxrzvvOgJZvArPMzWkZqzSkg21OmQTxBonds7loLFTZLQn7
bh8HgNJRrttGOjUVBDxdggJBZtRKJNW6FUqfeB0kKzjL556TbhK13zRZ+V0eqmvHj1dqaH6khQp5
0Fq5indpIjo7KeL8Js6pW6XBLM7lZWdU12VN+6enWGbqnxNB3HXsrWNX6zjsmqmdYDsfOn+m6J7q
sbnRumZORxQY/jhVAPW5QXXlRPVXPAfp7dizXFJQxPU3WIZd2mAfMXzcpNAoql79PHbZRauGEx3B
U94nLURapL6/CV2UczUHY09j0dT1OjTCJQD3b6oRLqiNXuRa/d3L7JCCXzDxLCAYpYIBqrK0zR5z
zQrvPUfeNKoP8i/clCZSvgNWoqP00fC105iq1yRushn869NKESL49sRxiwdHrzii4s9gMD5mso/0
qLRwc+McRv1CbRKa4S3940E573S4rDzE1EkVmGzKOWaea5Am09Kvzz0L8fWgP+t6/zSrEAWFkftQ
Wup16/TX5RA5E9drjQ+g2ZeB2fkb09WRvFIxbI7l8BT9fXRaAjVDGU/UKyZGX1zKYBI7hSnVCKMt
AVcsBHAxB8E4gGSkmIl9ooZ7gfehF1DHnmpiC+d6poGCrMOB6QcsMs/dJe4hw0LS3G+0wi86AaG0
k+YWRS/09zUcNwTMUhWAS2UHvRQgTMmni5q3UjpXfeXC1fVrXUA2oUMAHBAwTnLHqxBcZ6UjYS2A
ngSpEoAuK1xgTHBRgwYFMzk1QIfKgBPmzA7elqoi6CwwpJA1pimoUlXAS/2hgoiAeKobnWvgTxUw
J4lZbHIBTO2K5A7OOy9jlEDmA14NBYyVYvkHI7ZPcaLUZlDoYaMI0Ksr4K8SFfVMAGJV3wBWCUY2
CWD5RqBmSdW/1AJGOwhArZSMG2Kxix6krSkgt5INQjIny+gDrIHTsL02weciDbCW0IC3pSZexAS6
oDe6C7YPqrUC3gtxGy0eAflVBfgXMEOxCJvhPBPAYFMLLqOo+NiajTlFb+zWMw3muxLQJaunLfRM
V8CMfQE41kAeOwKC7Agwsi5gyRjZxWe+gZ/Bf/LsxzybxPTX5//tg7/dZ6Zk8Ft/nf1CLgP4Gth+
zvmdjsRfZ7+AsJkcvBanr6WJNtdzxVM+IVbgPOZM5pg3tB8VT402G0oalqiIkiTr1En/wdlvKIIW
+dPZDz/PEL050Gs2TL1XFU+8sDU55jEuW8ePKmJMpOANeRWmqbRuYg+OlD5ODdHzdtvmtO8GZZIl
qjlXWmddG5E5zWkVLrxwuLWlDIRliBtrqgTxJDOTedjkd57aK2Cia/gxS4TpG2mmSc2nis36ekjC
bmmWpnvu6wOo8t6amYWKIarVlhdo5TcTw1N95LyV7zU+jTIWsKu8SzelGqJLj9FahK0inSil/0Dj
3PxQ0D8At96h2RSnKFNTF53EDs1yr3HQN3Vyh4Q5mdt9hBZ9I62U0HLnofDns5vgXknVvplVwqO4
ZrGuTGGrCNIZVXAtwqvFTZVLVyUB65uUP0NZe2UpsTLJ+fhRuMOVqMHyKQFy5MI7rtREax87Oaxg
Cch9eg/qqi7ZzrFS2tYxDnSm8KLL6tagER9eZ0YlgqCzVpJxTDFxMQ+SYliOYnmX2NvZDQiBcud4
Z0sfcyzwHKzwwBjap0YxXpVdNMzAPn4Gs36XYZ9XwPuflBjqIaZyhVLurdfitNeRfLRY75VY8MlY
8RHNVDP0JM0pLosWYPDsS9jFaxMDvz7EyW/A0q8X3n5N7SwCzP6M1HnIhfufooO6DYUjIHFRNiGt
A2ovLAODoOMgEDaCKn6CNr6CwO6TSSesBuOUaoMk7AcTYUQ4VtVns62+cuxOM3ys55EXoMjrBXAx
8DHM6EstEhncd2+b3qzC7TDj1cc7/FLQoqmJVC+8MLhyU09vrnIBeJIF9InCz52e119aMFG4ZusL
V1PucwGXQsekXqeuSlAIlAqufLswBbxqLCoMJpmuSzJcfKp3OKxAQLJyXTuVBEjLs7Fn0OyMhQCC
awDJpYPo0gS0y3E7a66EVTRrTDxKU7APlSyqRjamwbmAhwU4Kpq+C+EN1CXwHNaI26PU3wpgmavg
5C6gZh2YM68FfObb/aUGGk0FlYZBzqUZ2acSaLVGJQecud2Fwz0rvb7JBbDNBOEWJeZny0kugR7i
aq6Fw8wFDRchWC8LdFxaf7EEXC7raxLyMHfmleWU0wy94Ukdpossyi8gay8rKflYgb+LCu+8xr1o
pYDMC5DaUEHqYUVOS1mA98q+v0xilahFjr/6AP0MkxK/KXfWaVhY56qTbAJAgbFAB0IDUuGRRCN9
OrCDng+KEChhcNoALFQBGIIM/xoLxKEtsIcmIEQcdT83ZXWpCnSiH2XOrBeIRcPH5LsUKEZf4Bml
pl56xH7YF4wYFAF67Ez38yhQkEUOGhdfALYefg+IST/B2gKHjOjUHcuHQiAqMZgRdB91JQu0pS9w
lw7DOm2BYqpAMusOUTlNoDTbsNJnUVuaqwgIpwGUUwfSGfg+xEmB8oyBe8rAPkdTu3UBX05LgQjF
alei86xcI2ZEtR2gmaelH1SBI8VmiEZksySkHIBl2i728e2HEvCpCwi19SvatQKVCjU1EDhV10o+
xABXeyuQ1j5Q1kBgWuW6X5uAXFsPH1iYXMY0LOJ4aqZdNI8FKnaU/QskS6QJthr9TCrjP73RvUWC
m6BFEWKoAl/b++F9mdNSymhmyQKDCwBDpbICLrejnLiqgepaAkw0FuOHQaB4JYHnjRzvpocW2Qig
L4Bfx0nahZ6Xa2jdPqeA7wGMAB+sdSaFTROWKPTTLwl9V/QDt0XVB8te4IttgMZmk3xUAR6P2D+I
js1cb/VFCTS5zeyzAKhyiO31amQS0bEgrwMashws5W4E4Gx47Nk9uZJJe7lQygfwqhc1kOgR6KQl
MNLVgJ4coOkM4R2kbaiIEK+6kbyygFfLHpbELZMAJRd27hzCMeg1bPlihFisW7jIF1R7HqKajTLQ
zGzexkLthkZgDbSb+JKKZOVclg7YKxX4d8y8RYqILNYSsKVWpTyJpRrEUEyrcKpdyoO35ews51ng
N1joQkBAasu8tG34RzSz1GVZlV+CSLkxsIidZhidKlb9FWNMd1KyL0wqsN04jOcKO4gCcNv+DtSj
X5ZOueD5vpchikupnd1XLmm0Eyp05n2NpCkKjZlLCs+Zh+4QP+ty/6x2MOgCHIFFlJTNnaS5d80o
Zxct7jU/vQxDB/sXyYU/guqukmNJpnuDv3AyEkGvJ111w4Z6WM0O5trGxkc1h0QhAMMdZIus8VYD
upFzi30SnV/g6+nNkI0+glXht8jK7wxaRQB6kiUKmEviCN6B294oRq7A+cIabpSs07z2OYpT6HqA
QSwYgIi0m5JSXcIPnHlD8mckRxl5ZXfZW5TrK8k7l7UAE6Y6/9OWUpCPuvO1Q450LhUJbJLURNoZ
JZUcbQ8ZyZIPJUYV7OaV417oGA36AeHyNKbScYqYiVNssjjOMK8rAxnASUg5ZAS55xT+owLkf+po
hvbbOLrJ4iZJH95W0cTvPUfSaNIJLggq1KoCBE3QOv6KpOUTGBjQZimkmVgi/MAOaPYJiuLgwBR1
F0cLAdkfVTRTUwRtAzGJHYrgn0TSpsGdXkTSQnxBl2X6YooKGAG5R2L2l1U0pTXKRMqS5HI0/LVG
zKu3WFz3EQV8yvb4dABOxYz9Qs/jaIEQ+kpulGWQ15c+1ZgUjqHTqTAjJLoDyrqr8m3U6F/dCupr
Wl/0o0JFRl+NvsAySdkw9S3vK4oKH4BwRnMzSbYOycaU+j9nRdzk01Hp4rNkgBgWRz77UVIDmdX8
s6bJ7PMUGz/bFx6Uotk84uZZOtF3E6Sl5iqEGxgSlWS7wMm+dEor8O3sTgY1aLUBaRYpmJPAS7g3
swzaC/HUdPQtcxq0kXIKFva8rq1TzU1uNXBI2CVeVLojbPduCW4ylKu8ZWY2qO6K6n5rXhqZtY5r
9NEc3/ioIQyDTcO3zjcXVYs4e6mgONc59hUoIRJ7CMZdtAm7cEFZyJ02KA+BXeWYVUrpsyPou9mY
z2QjPPdLvOgFhIoYsj6FXg80PBoVNKGcZCGFzrfeSq6MtjnXIYNs8uIDeK1Fgo0px8qlZWA7qvXk
FngMhuhOaPjcaQrs41j60uruZ87GhdnQE3GwHVppcfI9GEAFUmecJUDpJkofboaWocPr6oPcuzjl
RWbyqdBPzaFCFre2PeqjhdVuPNleuPiXThLD7KZD0974gAf572ARYMQ4q4v0U8NjuMWIPHsg9RO9
y5ZGQA+stBVqEwN0Wt5DGEoWTt52PMsGm17AoF0HNkj7zr3XixxDW9O81TPzWiIXnWI2fe4kKNg1
hoUyWk7ESJhxLeHbasAJResDsHBfhLfoIt+BspylbgIDLroP0/KT52DLaKpGBxMjMle5q3Tgz1z0
frPemxI6LDQdqmFg4XSbBRFiBg34g2RljNFS1ttVpOInnTY9GG8oLRSI85luYkorW/mXDGt6RwGt
jR4srt5xFUyJzcCd9QrKCVXZU1axyCf7AYtOxckvYAN+LMbo2s0be0rNmtg2wEwXaqeN+gZpYFyi
BoXYBEFmhP1m9SUwrXM0W67TNgumVuAkU0kZx2WS4maUuiUFxCFlZmrqtzwtbuyWF2903myg7Cg3
7r3bSspMa41rJ7evm85ddRoppuK6p1Yk4Y7OpJ9ATVv0Iz5jJUkVeNGomuRdiVRaUVIoGoctvHdM
0jmoYM7z27VUrsFHzuSIzHqgSquIEhZ2dcsAsvZ8iK4pdyvYmgIzH7d0kbZ1a956fXsbxbApe/uK
ZhWRkUcJtFNRvkJu+hNolRQ6pzX3x3rhD625RnC+I1+tDV47GHxQNVve67DWKwMFyhzwPJKYM1XS
H9S+uohl6aKXa5rC9pDO5WHcUtZbDXltTEnuB15XQFbdWdZkKKGPq0V3k1hdNi2qWlm6qkfJTKMf
3bVxOusaZiB//qcaA0IcjNilUigS71i6Lhr5oUqYErqZBOvMsj7mZbGpYii7gA0e8ly+tLCPq8Le
hH4V6/O0w+TLVEjl5LE8dxXkMlOdt82InxUpX5oMCIJ7nX7Vk5gYRGIP9gIb17wWMX9UzVcuZKJV
pgzbwkSJxmFr1CMYSgj0UVXTL8bav6xgc02QLoKTF2g3XZh0sFCzq6KSl2Gp3+Yje2Wm3CheQWoz
2khjZtbW8/J1bvr0IfRg1gWgNQ25+YjTlzIFGVzM4xBKSmkwqaPK/dqa49eyLq79SvdWXiytYPA2
c4oiEapozU1u4+hXRrxfTUIYQSu7aWehIecl5XcQOWwV+TTznUs2uiXkAVjSenWLc8GnSK0/l4UN
Vz9qPuvOKJPCdcpMllWAkFWIf67tG9PBJ1fOPFBJsaKdllV4k5racswpa7uR8rWL4LI4cYg4vBPi
4BCpEy03MWRTP7Xmh65aj+6XLjjTfe1DGpK4oScYkjkGSG2Cs65xjs42ap5B6oqVaiWH5oPCRj9X
0PhuA5OlrWOsKxkwSyxzDJBQIe8PdH2WOd15lcfUutWVhRkQ1VN87AflBjjRmZ8RHyKN8tmqodvI
Rb0u6o1oftQGgj+ehYwjxKlZnDnBUi1K5FtKzEaHcYniRXieSmz/o1ReOIMlLdAbiBYY5oWTUdFo
0Oc2b8sVouHeGlcTdJRNW6C3M88pYGxo6oqE6gGxav+iS2twgRDkDetzSDt3WSIGR9moGIeN4svB
1K94zxbaPivPrucBVLGM/Wvt1iNGoVoJK20krXJp9pziJrbBg9i2t40+UO3p0ePwc7uYc3iEoNy8
RWIoF7TkTtmN1qbL1LF12PY18opSqWufgKqwQ7SFN9EraeUX+gaAtbdKfflBG+QH+PbfOXKggvr9
apClWWKjWxfJfHWesdKUbBb18V0fgPMwPH+p0vab1C6JL94kX9DCa5eDUofzjiCedjPOktjcIj8q
rLHNM0/0fL5Dp1N09xoay0qSOhWdGutSy6EVBU2iTOEnfWT4OcWV+AEm+7qlRb3I6X2VlbkM7Qqw
MIizRdrLEVxTOcffGZ1Ipei+pHUPnSm+MVAnNGPjI6aSVzRk6ok5Rqedbi7KAA0E1gm0pX6h1Dnu
gfodm+tV7XTpFLQGRTSzuMZscsEGpyw7XdCUFMQTfNoBFiCX1Kwxaw6TS3I04NGu38yB0w/zsgdB
z74fz3xz9KnH4f/X4yiSm3oFzV7djhVd+LgDKYnTzASPmQ1B7peyzM97K7amWSLNlQDXks4GLxMu
2k69Lov2jJW7oqUrgwzyRRFP8PJopCgctZFyHrj1mRtnn0l/viDDwhmRWp8rtb/IepQBUIiX0GGi
r+MY3qdkwHlFARMwButSLy96z1vknUoFKrDB+2DxYkrmxyZvL8ben6AU/j3WDQQsFTIkbThve7tZ
DeVADa03LxLFhpWZsBFKmH0bAfJHhr6KMugT8njWlJqGqhTtFRO9qrBLkisNG+iZV9sSYpfQ6Fqf
lmtLnRXyo4rMapIO07wCumCP5aqisjcr5fC71RHD2H1zZeWw9Z2yzZaeU1XnSYFuWKF1uN1bNpuS
u4xiFHqdXV9W3fVo6c/QrzVraQ3cNlmafnbq7Lq68a7DO+66vf9pazy2NX5LEfqEsHizjyNkvOAI
KTYwQdoaBnJFyiMm+zkbI1FDFQuRPgM7u0fdv2cEoX6CO6kKa18HfAjU+kVfQzvhMFdJ4TSh8Sd+
9E/6Gj/lYjCEQEUYSIPDVFIwktdfaRz1MlZkZZk2mxGaWcGSh7cDEzt5xJf+Uj5T2alK/tQ+cSjH
QBpF2RIqkqyLpPAFUFGJ67YwQz0nMjScj5FfUEcPOuRjVugKF9RU6rTRT9FKHW8QxoDobeLdGdrk
bmplFWcwUbwzxRKAYRAF/ZVP0K4NGVmSOXhWddZGYaV9a/vCtK86t2jbRahk+qzFsBGDeinGViBG
RzDI80ydZ13ctFMUe/HECyo3pYI0OHODBSjPqvTOiPVuY5F9XuoNdMipkmNcvsjcXpvGUKWkGH1x
Sl9dpl3KrWJE520cXpZ11IGhwH3Jd640RX4wqvw+5VACm3xrIb6adtrSkMyMc4NvAQll7kDMcRIo
y8mpOwzFTIuAg1SlMouH4k/f9q+RzNsoav5no7U3seJx4iKS9NWKgF07qA5dSFZeoq1jmOs4cOBi
JRj3jUDQ4ERqf+phla5018dNsC7yOSraQD1jyQATbuMT4myqlK4uJTGKU8TOyzq1Pg6K9CVW/WKW
hT6yIHXtqdClUChkWnDga9QT2aqduV866dJWE+cmtwqLE8dO/evKa9EBsJQS2paMDVQcDIyimkEQ
i5pypkslZHNjvC7wolr7kqJsXpRCrh7n0kv5VJVF9qKusJvLQuSCJg1oWJbcq7pCMZSATVF23HAA
bak1KjeoEk7QHMBXPAWGMYF3NIdXMC/nnOBrfaHN6TtP/6UHhEAB/ZjqWFNqliWKJVQ+KHVwnv08
1Y0eKT2v8rMNof16iDG7irzCJa8hGrGtyJkXrQs1XTURCsJb+MKzSnet8I7MqEAXwRo2DmZloPLG
b3WfOYtKBQFY1/nCtcdvloGtdOgCPKXp/hlIiYUqUDFMrYqOPMVaKLk+5XPD7+dIZCw7BbKti3+u
brtQ/pzVqNF6A6+n43wzKbBcxSwQPGWSrrD+nWVQT8Eg5vOu885VFyZAlKJC0xJlJEmIElhbbDoK
yMvCC4Faat5HD3gxJNcLUiuZjDNfyhETzXIKWPZyePP7V/xzD5aRdZCJkxER0R3qR5rzahNxRvgM
eeKWG7nFOoeNAFm2krNdCvy5kUHC0wtv+/uPVKmW/fw2X33mq7cp9VBF2sirNoWnfcU0DWaeR7ug
slZ60iAlCFTEM6mmWDDajBg8jKGnw/lYNigoS8Z5Fthf5AAKB1CSP10Y+1jwXKiZ+UF2xzvDK74l
XVDMCsw+/2Nupjyeybz1X0MNvsJm31Me5Xeey6OqgrEiOCpkRLDt0EXl9PlAxu4MCIKMUI7FNOM/
/wIaUB51OMQh5gr0viDW/iiP2icarq8mNhjQq1TB1foHBzJYgp8mHNsYnU6TWizkYEtFuOcV0KAu
oRHFathfwoKSJrmNEJ9b3tYqzoyhij30qKTZbQCe8FKtk+SmatxyJclKs2pGF7cqRJg8J3PrSaFr
Gxwf5XkdJ2gzWCFyXXB1alUmPSza707T5bfZABA4KuL+yiEln4LetaZO42a3etVelHKD+kKKvgeu
opeJV5CZdKl3DQk3XTaGqs291lVmlaJ8BAUfr+IY+ZSQ3QEU36k22Lde0ZSLXscSAURhcBkHfTJF
/vgbrK1u5WBdju1y8LGgTHfhA99fkPWhpScsDBWG4DJQbHdBYcVZIVpB161TIb8k1Me63HJmmDM7
K+zOa+ir1pcM7U9SzRBQRZOcN8ABIkf62hH7TOqswWPWIMf1Aco3OtbynjxXvXYdlRLq/PYnRvMi
y6gsyjXHFTXXBFyT/81o9W1vOuAuu+yzV0SfhUTAPPc9dHS94KbWwQ5rsQRpNEWvzfS8VTRy0ktm
8qB5fjzpU3NtolJL+4vyGp6z4aIG0bTw3Q5rEmP8yovGYcTMbzLJ3eiwtoDwrzT8Bfgm2r07VFeI
w7TnSIqgrFuPMp4b9gaZA7pI7rgxMl5pnfczEHf0tLXvoBPB+UV3kpuzi/v+Oor7S7OjmUQHrEYG
EgYRWecpSs8GTRu4p53nXKIPVU/VRAfHYZ5nfYJ+nKW5E6qKX3Nv/KDrMJ0LC0WEfpRQBgZUx/zo
p6ZdRPYliXOofYcGYwynVg3OxPK9M2i8I41dJElmGIZUE98yHqQqWgSNDU9aGhY7crLrhAa923iN
y1qJqhCQCzVRzjWLenosFElcWeHENuxgORjR3C6ADyIzR3JoGC0QrhIpPC9CR5FyHE7FwzxAQGWe
hc4CKgZE3GhkkAnvTqWhwpnUiBQyLtuaysxUzcuv4zRF6zLQT3vboeqIQcxt6rtQZ3WEp7MUGSoj
JM5zzGSmut101OV0og3uwzCoq0CyjdPIMG7L2gW7kdZTJKyncHQ2VAhjEm7DnCRdI6M3Z55Kdqlf
UocBEAOhbZorATYnpX7TRoDs3do4B9cGkg15u6ksGesSCuFaGbKzQo+V0yKjPubVDhJEXyrFvZQ6
bwETrV/osApqTAOjKcV8JKPpRNJtnNlF/N2PjYWd5Sx1lkmeWz0Dm3zL/WrdW11+GkmWPYsDRbn0
u1ybuQ1MSWpuMJIhAE0a2920hZRhe2rO1cEZadmDxdQIERDY7D8MSgX5HJm8dTGM9qRRVXdFfYn8
tcr05eC5zkyWIMfkRXoG0d2aD16jrdFuGnH+UKSlnhW4+BT5B1OiCztGwxq55C+5lGhXakgZgN0P
5SZISVM/yteSRu2891w61vnXgiTgzypFG9JnGX+wwvBhDEeqEnDsgGrsjo3/By3Gp0fca3/1l+ya
+OlVFqT1bTZ/baD1t/7S8xm1/0a/9tN6ebgahkPC+NNhvHumnZnX724Rb/H8au7x6tKsE85VKD6K
g90iF1F7nEEfffwxaYBzQi+T9JTzene9fI37H/76jY3Yr0bq3x0EzmRyf2zLTu//+78ewxLx4P94
JLjPi6EgkBCBB2nyqzFQZSRDdgIej4P0+FEv5sm/9/3+zjj9+i3uGQNRPjhwDOhda6qqKnDVdxfJ
1U/TgeiNhplCXYS4ic86vkEQpY8DB8E+wQcB9RMcvh+v14PAfKAZDxfGfF4zRzgUwmnk4KGwTqiM
2UTJT2PB4P48H3AoBsxgCULQEY4B5Yj3GAOAzFhhwzXeXW/WhPCDp85gOfzkKAdBfp2z/Z1j4vXm
SGXHcTSNmS+uPYMA18s2gI4f6yA87lg/zC3/8SCg2GqJ4pYqRkJcb1aDjqS+rrEajnU5yK+JAv94
EEjFSY0hu1MF2l2vZwIRAwU4yzCsx+r9ER4R1BwOPiLAeHFMojGwu8RieRk2ETIgWuCokFuPdDlo
By8HYkdqJSgzwMl4vF4PgqjnyHQ3nmyajm8mKIdHjSqxAGLNoHIfZwJz66eZoBgnOGwYMFqOOVig
JPe4ZR2wPUL5gaEDbfdXO4Mo/ZFsKESXR7ooROfwwJ2BIwCasib/6qBke0QKUJFNQV8+ymjhacs6
ZCbYZJXEx6JJurt43z8tCiq9NDvBoh7t9igfPhN40eIE4KR8HIQ3Z4TQC7MpNItu7FHOBNHDO2w5
oGRPLxA9TQPosrjehEzqicOOQV/6WPeEN9oK/zxksk6A2SIDaj4thzczAbVS+JUE18e6Jzzt2Ifs
CZQWRMRoWU8H5Zs9AWQFzUUNRacjXQ5PO/Yhg2CyHBTCAepqj9erjVEEz1jGG7ZytHvC4XGCeaJp
wGvoAu4/HXZHJFGlIpqDR7kxyodXFQiWaHUqeAO+mgKcjQhFovloPI70EUbNByeR4lhA0E0HSPX6
2+snYIs01N2fkoojnQGCBX/Y0SjCZfTr+KLwccT1OnMgh+SHSIkKzg7XsR6QynvsCEgLsB6Q0N2/
LdqsCcc02RSOdD4oh9cUjBMNoQSyp8dEcV8rRtTgKNAf6wGpHT4TbDCZ1JfQd3qcCG/iRYSoHPEP
I3XUi+Lw/YFjkvoSsvK0+XbXq62SYxKpLgTrhVjGUR6TT0HMIQGTQ6KoYWOBev7uYoa9ziQdxVAQ
9D/WQpsQBT3spOC01Cm3gm56HIN9J4XJj4VC27HOhMcHO2Qm6Dg6qKqGZdrjanhTd6boQAoFzvux
Jnu0x+XjEXbIUJgnFJ+JD+lJ7a43qRTGGCZ7KD37I50P6sEhJNVnviBDAMV67yCwPTommkUqm8fT
9nmUm+RTr+iQ+WCdAIB0TCLF/UuDSBIvK4eVcdyHpkD/HrhVivBAxotQUOXF9Sa/kE8whKFC/RSw
HV92pR8eRLE/WDrCl8+D8HqrFOVXpLRIwI/10BTsgsNmAn1KlR7kX2viTeVRVBkYBKTAj3aTPLxt
b56g57rjKj1ukm9yTPA8CDoA53+cdce3HESF4PCZAM9KJ1D+xSAAYiF6EoZRx3pcHh4+MdtNREQ0
4PW7a89MACwDT+5o9wShZHLwTGAxkD0KQMzPaQTQDiR5UPA/1rBROAcf+O1xrhGoNSxtHs/G18eC
AtoL82A4Pkc7CIfXXe0TtnwxDE/F533rAC1UBanUx+tIt4SnpuEBYaOAM2GPZ6vP4D4G9+dFocKd
BbxALnGkgyAs9Q5cFGQJeIQA9nzqyLDT/jwIMg1Km4hSO9aOjFBdPXAQtBMY0Aakp8ez4W3pkQxD
2KngXHWsM+Fxih6wHDST3Q/YAon1Xyv/55lAbiFDz1KOFrSgHR41034BkwDL7qne9np75IxANwyT
+6OdCIdHCUC6kJw1gHW92gv48gr6yIzO0xQ51sVweKxgEBKrCFNRiN9de0pMaELLYLmOdiIcHjNb
Jw7zQMcK9nEQXi8GAG2qQ4HecY67Q/eEvzxkc9xV22DQPc/8N8ckOZSKL4ejH2vs+AQmOGwQHFuo
JlJi+tWioJ+rKKiPHenOoB8eMOkC1CvYDr+GsJgOrj5Auo47gD48bCIqot9Aa+pXdVflRMBYSKqP
NXbUDw6baE6B9OdU1H4FhVdxFSKo4Dg51kVx+Ekh5Ft3HkdPg/DmpNjFFBgFCnIhwfrx1dmEGcRh
WQQzAZC7SZfuFzsDZWfg4YTPAvvFdbQnxeElRwF2VID5UV3eXW/a1kDhaVnbLJy/Px/+xqT5i3s8
9YP4fkdNRjJ/Rwh+pJv+y7/wzMl9e4MXnNsd8/inv3k75A+P935k5or//5/tfYIzZVDVZXBXq7tJ
/+Knz4tg90lPv//0Fd9++E8f9vy9nv9wFTyU2/IOz8AdK/jpQTfbBIbz/8b86377mjEsSmDPfyY+
+7//6+eHfbEYfn93FMIfnm/0go7MavrxVf/dmyfb+6x8vtGLm7NwDr75BDupfQ/OTD343tNtvG15
JdXzvV48O/P98Pujw129eaXE4Gyu73DztC63f0yzqt73EZzkB3/E7CH+Y5OVe8efvefg+8/jP2ZZ
yeR5vteL8eesO/j+ixIbjn03J+88+ObL+CFNn+/z4sHfY7mumuR7Ft/Xb2+vvMeCPU3yhzLYxntu
/x5L9jQd9gy6gF8ePOhnD+WeMRc98sNvHaTeno1AeY+1er6N9uxhAnZ28GOfb6vqYd+YvMcCPc+q
P/439R7ih30j8x5L9GJ7zwb8PA4/lpGgZx88NhfbMtg3NO+xRMW9kVve8+gCM3T4oz+k99ldsG/3
EhyXd7h/efdw/3yjH+MuUD6H3zzj2Z/v8+Le77FML7K9Y/Ieq5Rb1w/lw7Dnyd9jpW62+b7Z8h7r
dPPQbt/GjgY2eM/f5YDY8bLcsgU83+jF63yPJXoVb+8e9sSOolx78Dy8QiF6X3An2nEH3/w6IHSs
gvs9IyM6XQff/2Z7V5ISpPWes1QA2N/hA9I/Jg9psPcD3mOp3mzFB5Tptrzfu5GJNtC7fItZ8ODt
G6X3WLXiSyxYAXdBdbfvM95j+YrPWGfbotl3WmnvsYbFJ5w3QfXH5fegyvd9j/dYzOJTLrb1w777
v8d65v719o/Jtvy+3RcziKLxe8wnPmMa7/+E91nY4ltMy2Z8ftwfe6oAVR7+Ffzt3pxQFFEPvzk1
jL2D/y6LOaiiYMia5+d8MTDvspazeLsvehCN8sMHhsBkn3ut0IA9/Ob1FhHKeNtUzzd7MTTvsnRF
mWXPOSy02g5++t8a++5KYQeEJ7fE+EjsPT/mj3ERqgCHP3rDTrDniBek13e4+W+N2g4dmd8bDxx6
999IKB986+b7nkjZ+NerdF9Z9q8mxtti7bOy4b5f+7kWLf7GXfywLf/n/wAAAP//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1117806</xdr:colOff>
      <xdr:row>0</xdr:row>
      <xdr:rowOff>0</xdr:rowOff>
    </xdr:from>
    <xdr:to>
      <xdr:col>1</xdr:col>
      <xdr:colOff>1163525</xdr:colOff>
      <xdr:row>75</xdr:row>
      <xdr:rowOff>28863</xdr:rowOff>
    </xdr:to>
    <xdr:sp macro="" textlink="">
      <xdr:nvSpPr>
        <xdr:cNvPr id="29" name="TextBox 28">
          <a:extLst>
            <a:ext uri="{FF2B5EF4-FFF2-40B4-BE49-F238E27FC236}">
              <a16:creationId xmlns:a16="http://schemas.microsoft.com/office/drawing/2014/main" id="{058D5B2E-1035-1E70-E0F6-A14937A62047}"/>
            </a:ext>
          </a:extLst>
        </xdr:cNvPr>
        <xdr:cNvSpPr txBox="1"/>
      </xdr:nvSpPr>
      <xdr:spPr>
        <a:xfrm>
          <a:off x="1451341" y="0"/>
          <a:ext cx="45719" cy="13979621"/>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1173660</xdr:colOff>
      <xdr:row>0</xdr:row>
      <xdr:rowOff>0</xdr:rowOff>
    </xdr:from>
    <xdr:to>
      <xdr:col>64</xdr:col>
      <xdr:colOff>539430</xdr:colOff>
      <xdr:row>72</xdr:row>
      <xdr:rowOff>114300</xdr:rowOff>
    </xdr:to>
    <xdr:sp macro="" textlink="">
      <xdr:nvSpPr>
        <xdr:cNvPr id="3" name="Rectangle 2">
          <a:extLst>
            <a:ext uri="{FF2B5EF4-FFF2-40B4-BE49-F238E27FC236}">
              <a16:creationId xmlns:a16="http://schemas.microsoft.com/office/drawing/2014/main" id="{05DC8A27-15D8-4B85-B063-6A5972F8C11C}"/>
            </a:ext>
          </a:extLst>
        </xdr:cNvPr>
        <xdr:cNvSpPr/>
      </xdr:nvSpPr>
      <xdr:spPr>
        <a:xfrm>
          <a:off x="1507195" y="0"/>
          <a:ext cx="38524104" cy="13507027"/>
        </a:xfrm>
        <a:prstGeom prst="rect">
          <a:avLst/>
        </a:prstGeom>
        <a:noFill/>
        <a:ln>
          <a:solidFill>
            <a:schemeClr val="accent2">
              <a:lumMod val="50000"/>
              <a:alpha val="99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1227666</xdr:colOff>
      <xdr:row>154</xdr:row>
      <xdr:rowOff>89558</xdr:rowOff>
    </xdr:to>
    <xdr:sp macro="" textlink="">
      <xdr:nvSpPr>
        <xdr:cNvPr id="2" name="Rectangle 1">
          <a:extLst>
            <a:ext uri="{FF2B5EF4-FFF2-40B4-BE49-F238E27FC236}">
              <a16:creationId xmlns:a16="http://schemas.microsoft.com/office/drawing/2014/main" id="{39656E5D-7E3F-6792-AABB-B1E5645DDFB1}"/>
            </a:ext>
          </a:extLst>
        </xdr:cNvPr>
        <xdr:cNvSpPr/>
      </xdr:nvSpPr>
      <xdr:spPr>
        <a:xfrm>
          <a:off x="0" y="0"/>
          <a:ext cx="1566333" cy="28340002"/>
        </a:xfrm>
        <a:prstGeom prst="rect">
          <a:avLst/>
        </a:prstGeom>
        <a:solidFill>
          <a:schemeClr val="accent2">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xdr:from>
      <xdr:col>0</xdr:col>
      <xdr:colOff>35278</xdr:colOff>
      <xdr:row>3</xdr:row>
      <xdr:rowOff>125067</xdr:rowOff>
    </xdr:from>
    <xdr:to>
      <xdr:col>1</xdr:col>
      <xdr:colOff>357267</xdr:colOff>
      <xdr:row>5</xdr:row>
      <xdr:rowOff>59652</xdr:rowOff>
    </xdr:to>
    <xdr:sp macro="" textlink="pivots!G4">
      <xdr:nvSpPr>
        <xdr:cNvPr id="4" name="TextBox 3">
          <a:extLst>
            <a:ext uri="{FF2B5EF4-FFF2-40B4-BE49-F238E27FC236}">
              <a16:creationId xmlns:a16="http://schemas.microsoft.com/office/drawing/2014/main" id="{0708ABBC-C6BF-148B-E552-286FC420B180}"/>
            </a:ext>
          </a:extLst>
        </xdr:cNvPr>
        <xdr:cNvSpPr txBox="1"/>
      </xdr:nvSpPr>
      <xdr:spPr>
        <a:xfrm>
          <a:off x="35278" y="675400"/>
          <a:ext cx="660656" cy="301474"/>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AF9B3C-A122-47F9-AE8B-7842F8B6A605}" type="TxLink">
            <a:rPr lang="en-US"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rPr>
            <a:pPr/>
            <a:t>2,400</a:t>
          </a:fld>
          <a:endParaRPr lang="en-IN" sz="1100" b="0"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endParaRPr>
        </a:p>
      </xdr:txBody>
    </xdr:sp>
    <xdr:clientData/>
  </xdr:twoCellAnchor>
  <xdr:twoCellAnchor>
    <xdr:from>
      <xdr:col>0</xdr:col>
      <xdr:colOff>28222</xdr:colOff>
      <xdr:row>6</xdr:row>
      <xdr:rowOff>31932</xdr:rowOff>
    </xdr:from>
    <xdr:to>
      <xdr:col>1</xdr:col>
      <xdr:colOff>279656</xdr:colOff>
      <xdr:row>7</xdr:row>
      <xdr:rowOff>166768</xdr:rowOff>
    </xdr:to>
    <xdr:sp macro="" textlink="pivots!H4">
      <xdr:nvSpPr>
        <xdr:cNvPr id="5" name="TextBox 4">
          <a:extLst>
            <a:ext uri="{FF2B5EF4-FFF2-40B4-BE49-F238E27FC236}">
              <a16:creationId xmlns:a16="http://schemas.microsoft.com/office/drawing/2014/main" id="{FE881D16-F738-4393-AB17-A632E33DA24D}"/>
            </a:ext>
          </a:extLst>
        </xdr:cNvPr>
        <xdr:cNvSpPr txBox="1"/>
      </xdr:nvSpPr>
      <xdr:spPr>
        <a:xfrm>
          <a:off x="28222" y="1132599"/>
          <a:ext cx="590101" cy="318280"/>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D3184D-49C9-4FF5-829C-842320C5E6C1}" type="TxLink">
            <a:rPr lang="en-US"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rPr>
            <a:pPr marL="0" indent="0"/>
            <a:t>11,997</a:t>
          </a:fld>
          <a:endParaRPr lang="en-IN"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0</xdr:col>
      <xdr:colOff>0</xdr:colOff>
      <xdr:row>8</xdr:row>
      <xdr:rowOff>127233</xdr:rowOff>
    </xdr:from>
    <xdr:to>
      <xdr:col>1</xdr:col>
      <xdr:colOff>398961</xdr:colOff>
      <xdr:row>11</xdr:row>
      <xdr:rowOff>89799</xdr:rowOff>
    </xdr:to>
    <xdr:sp macro="" textlink="pivots!I4">
      <xdr:nvSpPr>
        <xdr:cNvPr id="6" name="TextBox 5">
          <a:extLst>
            <a:ext uri="{FF2B5EF4-FFF2-40B4-BE49-F238E27FC236}">
              <a16:creationId xmlns:a16="http://schemas.microsoft.com/office/drawing/2014/main" id="{112DA982-803B-4A1B-B67E-3069F0D8500F}"/>
            </a:ext>
          </a:extLst>
        </xdr:cNvPr>
        <xdr:cNvSpPr txBox="1"/>
      </xdr:nvSpPr>
      <xdr:spPr>
        <a:xfrm>
          <a:off x="0" y="1594789"/>
          <a:ext cx="737628" cy="512899"/>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37FEA5-C42D-4694-ACD6-27ADD341CA5E}" type="TxLink">
            <a:rPr lang="en-US"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rPr>
            <a:pPr marL="0" indent="0"/>
            <a:t>$649.0k</a:t>
          </a:fld>
          <a:endParaRPr lang="en-IN"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0</xdr:col>
      <xdr:colOff>0</xdr:colOff>
      <xdr:row>11</xdr:row>
      <xdr:rowOff>130855</xdr:rowOff>
    </xdr:from>
    <xdr:to>
      <xdr:col>1</xdr:col>
      <xdr:colOff>257848</xdr:colOff>
      <xdr:row>13</xdr:row>
      <xdr:rowOff>128283</xdr:rowOff>
    </xdr:to>
    <xdr:sp macro="" textlink="pivots!J4">
      <xdr:nvSpPr>
        <xdr:cNvPr id="7" name="TextBox 6">
          <a:extLst>
            <a:ext uri="{FF2B5EF4-FFF2-40B4-BE49-F238E27FC236}">
              <a16:creationId xmlns:a16="http://schemas.microsoft.com/office/drawing/2014/main" id="{0DEF4D84-D385-4D8F-92F9-AC5D6FE9CE77}"/>
            </a:ext>
          </a:extLst>
        </xdr:cNvPr>
        <xdr:cNvSpPr txBox="1"/>
      </xdr:nvSpPr>
      <xdr:spPr>
        <a:xfrm>
          <a:off x="0" y="2148744"/>
          <a:ext cx="596515" cy="364317"/>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935F7F-49F7-4321-B137-CCC1F983FA39}" type="TxLink">
            <a:rPr lang="en-US"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rPr>
            <a:pPr marL="0" indent="0"/>
            <a:t>4.0</a:t>
          </a:fld>
          <a:endParaRPr lang="en-IN"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0</xdr:col>
      <xdr:colOff>0</xdr:colOff>
      <xdr:row>14</xdr:row>
      <xdr:rowOff>79823</xdr:rowOff>
    </xdr:from>
    <xdr:to>
      <xdr:col>1</xdr:col>
      <xdr:colOff>200121</xdr:colOff>
      <xdr:row>16</xdr:row>
      <xdr:rowOff>19242</xdr:rowOff>
    </xdr:to>
    <xdr:sp macro="" textlink="pivots!K4">
      <xdr:nvSpPr>
        <xdr:cNvPr id="8" name="TextBox 7">
          <a:extLst>
            <a:ext uri="{FF2B5EF4-FFF2-40B4-BE49-F238E27FC236}">
              <a16:creationId xmlns:a16="http://schemas.microsoft.com/office/drawing/2014/main" id="{2DA8BC45-380B-4E0F-9F2D-48188DAD1C11}"/>
            </a:ext>
          </a:extLst>
        </xdr:cNvPr>
        <xdr:cNvSpPr txBox="1"/>
      </xdr:nvSpPr>
      <xdr:spPr>
        <a:xfrm>
          <a:off x="0" y="2648045"/>
          <a:ext cx="538788" cy="306308"/>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22070D-366D-447B-9FA3-BDFBBC75BF9B}" type="TxLink">
            <a:rPr lang="en-US"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rPr>
            <a:pPr marL="0" indent="0"/>
            <a:t>2.3</a:t>
          </a:fld>
          <a:endParaRPr lang="en-IN" sz="1100" b="0" i="0" u="none" strike="noStrike" cap="none" spc="0">
            <a:ln w="0"/>
            <a:gradFill>
              <a:gsLst>
                <a:gs pos="0">
                  <a:schemeClr val="bg1">
                    <a:lumMod val="95000"/>
                  </a:schemeClr>
                </a:gs>
                <a:gs pos="0">
                  <a:srgbClr val="D4AF37"/>
                </a:gs>
                <a:gs pos="100000">
                  <a:srgbClr val="F2DC82"/>
                </a:gs>
              </a:gsLst>
              <a:lin ang="5400000" scaled="1"/>
            </a:gra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0</xdr:col>
      <xdr:colOff>0</xdr:colOff>
      <xdr:row>2</xdr:row>
      <xdr:rowOff>63017</xdr:rowOff>
    </xdr:from>
    <xdr:to>
      <xdr:col>1</xdr:col>
      <xdr:colOff>552899</xdr:colOff>
      <xdr:row>3</xdr:row>
      <xdr:rowOff>148166</xdr:rowOff>
    </xdr:to>
    <xdr:sp macro="" textlink="">
      <xdr:nvSpPr>
        <xdr:cNvPr id="9" name="TextBox 8">
          <a:extLst>
            <a:ext uri="{FF2B5EF4-FFF2-40B4-BE49-F238E27FC236}">
              <a16:creationId xmlns:a16="http://schemas.microsoft.com/office/drawing/2014/main" id="{29FE68FF-B27C-0671-CEB5-7F70A7C05F5E}"/>
            </a:ext>
          </a:extLst>
        </xdr:cNvPr>
        <xdr:cNvSpPr txBox="1"/>
      </xdr:nvSpPr>
      <xdr:spPr>
        <a:xfrm>
          <a:off x="0" y="429906"/>
          <a:ext cx="891566" cy="268593"/>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000"/>
            <a:t> </a:t>
          </a:r>
          <a:r>
            <a:rPr lang="en-IN" sz="1100" b="1">
              <a:solidFill>
                <a:schemeClr val="bg1"/>
              </a:solidFill>
            </a:rPr>
            <a:t>Orders</a:t>
          </a:r>
          <a:endParaRPr lang="en-IN" sz="1000" b="1">
            <a:solidFill>
              <a:schemeClr val="bg1"/>
            </a:solidFill>
          </a:endParaRPr>
        </a:p>
      </xdr:txBody>
    </xdr:sp>
    <xdr:clientData/>
  </xdr:twoCellAnchor>
  <xdr:twoCellAnchor>
    <xdr:from>
      <xdr:col>0</xdr:col>
      <xdr:colOff>0</xdr:colOff>
      <xdr:row>4</xdr:row>
      <xdr:rowOff>143610</xdr:rowOff>
    </xdr:from>
    <xdr:to>
      <xdr:col>1</xdr:col>
      <xdr:colOff>584970</xdr:colOff>
      <xdr:row>6</xdr:row>
      <xdr:rowOff>110963</xdr:rowOff>
    </xdr:to>
    <xdr:sp macro="" textlink="">
      <xdr:nvSpPr>
        <xdr:cNvPr id="10" name="TextBox 9">
          <a:extLst>
            <a:ext uri="{FF2B5EF4-FFF2-40B4-BE49-F238E27FC236}">
              <a16:creationId xmlns:a16="http://schemas.microsoft.com/office/drawing/2014/main" id="{DDFD45D6-0CA2-D7B3-F87A-08AD27D0CA03}"/>
            </a:ext>
          </a:extLst>
        </xdr:cNvPr>
        <xdr:cNvSpPr txBox="1"/>
      </xdr:nvSpPr>
      <xdr:spPr>
        <a:xfrm>
          <a:off x="0" y="877388"/>
          <a:ext cx="923637" cy="334242"/>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t>
          </a:r>
          <a:r>
            <a:rPr lang="en-IN" sz="1100" b="1">
              <a:solidFill>
                <a:schemeClr val="bg1"/>
              </a:solidFill>
            </a:rPr>
            <a:t>Quantity</a:t>
          </a:r>
          <a:endParaRPr lang="en-IN" sz="1000" b="1">
            <a:solidFill>
              <a:schemeClr val="bg1"/>
            </a:solidFill>
          </a:endParaRPr>
        </a:p>
      </xdr:txBody>
    </xdr:sp>
    <xdr:clientData/>
  </xdr:twoCellAnchor>
  <xdr:twoCellAnchor>
    <xdr:from>
      <xdr:col>0</xdr:col>
      <xdr:colOff>0</xdr:colOff>
      <xdr:row>7</xdr:row>
      <xdr:rowOff>94291</xdr:rowOff>
    </xdr:from>
    <xdr:to>
      <xdr:col>1</xdr:col>
      <xdr:colOff>649111</xdr:colOff>
      <xdr:row>8</xdr:row>
      <xdr:rowOff>134055</xdr:rowOff>
    </xdr:to>
    <xdr:sp macro="" textlink="">
      <xdr:nvSpPr>
        <xdr:cNvPr id="11" name="TextBox 10">
          <a:extLst>
            <a:ext uri="{FF2B5EF4-FFF2-40B4-BE49-F238E27FC236}">
              <a16:creationId xmlns:a16="http://schemas.microsoft.com/office/drawing/2014/main" id="{8467B5D8-8B96-D833-1A79-BB681F872C79}"/>
            </a:ext>
          </a:extLst>
        </xdr:cNvPr>
        <xdr:cNvSpPr txBox="1"/>
      </xdr:nvSpPr>
      <xdr:spPr>
        <a:xfrm>
          <a:off x="0" y="1378402"/>
          <a:ext cx="987778" cy="223209"/>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  </a:t>
          </a:r>
          <a:r>
            <a:rPr lang="en-IN" sz="1100" b="1">
              <a:solidFill>
                <a:schemeClr val="bg1"/>
              </a:solidFill>
            </a:rPr>
            <a:t>Amount</a:t>
          </a:r>
          <a:endParaRPr lang="en-IN" sz="1000" b="1">
            <a:solidFill>
              <a:schemeClr val="bg1"/>
            </a:solidFill>
          </a:endParaRPr>
        </a:p>
      </xdr:txBody>
    </xdr:sp>
    <xdr:clientData/>
  </xdr:twoCellAnchor>
  <xdr:twoCellAnchor>
    <xdr:from>
      <xdr:col>0</xdr:col>
      <xdr:colOff>0</xdr:colOff>
      <xdr:row>10</xdr:row>
      <xdr:rowOff>14897</xdr:rowOff>
    </xdr:from>
    <xdr:to>
      <xdr:col>1</xdr:col>
      <xdr:colOff>758151</xdr:colOff>
      <xdr:row>11</xdr:row>
      <xdr:rowOff>153941</xdr:rowOff>
    </xdr:to>
    <xdr:sp macro="" textlink="">
      <xdr:nvSpPr>
        <xdr:cNvPr id="12" name="TextBox 11">
          <a:extLst>
            <a:ext uri="{FF2B5EF4-FFF2-40B4-BE49-F238E27FC236}">
              <a16:creationId xmlns:a16="http://schemas.microsoft.com/office/drawing/2014/main" id="{620AFCC4-13F4-E52B-5F2B-7E4C08414FB1}"/>
            </a:ext>
          </a:extLst>
        </xdr:cNvPr>
        <xdr:cNvSpPr txBox="1"/>
      </xdr:nvSpPr>
      <xdr:spPr>
        <a:xfrm>
          <a:off x="0" y="1849341"/>
          <a:ext cx="1096818" cy="322489"/>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 </a:t>
          </a:r>
          <a:r>
            <a:rPr lang="en-IN" sz="1100" b="1">
              <a:solidFill>
                <a:schemeClr val="bg1"/>
              </a:solidFill>
            </a:rPr>
            <a:t>Avg</a:t>
          </a:r>
          <a:r>
            <a:rPr lang="en-IN" sz="1100" b="1" baseline="0">
              <a:solidFill>
                <a:schemeClr val="bg1"/>
              </a:solidFill>
            </a:rPr>
            <a:t> </a:t>
          </a:r>
          <a:r>
            <a:rPr lang="en-IN" sz="1100" b="1">
              <a:solidFill>
                <a:schemeClr val="bg1"/>
              </a:solidFill>
            </a:rPr>
            <a:t>Rating</a:t>
          </a:r>
          <a:endParaRPr lang="en-IN" sz="1000" b="1">
            <a:solidFill>
              <a:schemeClr val="bg1"/>
            </a:solidFill>
          </a:endParaRPr>
        </a:p>
      </xdr:txBody>
    </xdr:sp>
    <xdr:clientData/>
  </xdr:twoCellAnchor>
  <xdr:twoCellAnchor>
    <xdr:from>
      <xdr:col>0</xdr:col>
      <xdr:colOff>0</xdr:colOff>
      <xdr:row>12</xdr:row>
      <xdr:rowOff>174392</xdr:rowOff>
    </xdr:from>
    <xdr:to>
      <xdr:col>1</xdr:col>
      <xdr:colOff>917222</xdr:colOff>
      <xdr:row>14</xdr:row>
      <xdr:rowOff>134056</xdr:rowOff>
    </xdr:to>
    <xdr:sp macro="" textlink="">
      <xdr:nvSpPr>
        <xdr:cNvPr id="13" name="TextBox 12">
          <a:extLst>
            <a:ext uri="{FF2B5EF4-FFF2-40B4-BE49-F238E27FC236}">
              <a16:creationId xmlns:a16="http://schemas.microsoft.com/office/drawing/2014/main" id="{7B24101F-D5B2-2DC4-E0BE-376DAFFE8B77}"/>
            </a:ext>
          </a:extLst>
        </xdr:cNvPr>
        <xdr:cNvSpPr txBox="1"/>
      </xdr:nvSpPr>
      <xdr:spPr>
        <a:xfrm>
          <a:off x="0" y="2375725"/>
          <a:ext cx="1255889" cy="326553"/>
        </a:xfrm>
        <a:prstGeom prst="rect">
          <a:avLst/>
        </a:prstGeom>
        <a:no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t>
          </a:r>
          <a:r>
            <a:rPr lang="en-IN" sz="1100" b="1">
              <a:solidFill>
                <a:schemeClr val="bg1"/>
              </a:solidFill>
              <a:effectLst/>
              <a:latin typeface="+mn-lt"/>
              <a:ea typeface="+mn-ea"/>
              <a:cs typeface="+mn-cs"/>
            </a:rPr>
            <a:t>Days to</a:t>
          </a:r>
          <a:r>
            <a:rPr lang="en-IN" sz="1100" b="1">
              <a:solidFill>
                <a:schemeClr val="bg1"/>
              </a:solidFill>
            </a:rPr>
            <a:t> Deliver</a:t>
          </a:r>
          <a:r>
            <a:rPr lang="en-IN" sz="1100" b="1" baseline="0">
              <a:solidFill>
                <a:schemeClr val="bg1"/>
              </a:solidFill>
            </a:rPr>
            <a:t> </a:t>
          </a:r>
          <a:endParaRPr lang="en-IN" sz="1000" b="1">
            <a:solidFill>
              <a:schemeClr val="bg1"/>
            </a:solidFill>
          </a:endParaRPr>
        </a:p>
      </xdr:txBody>
    </xdr:sp>
    <xdr:clientData/>
  </xdr:twoCellAnchor>
  <xdr:twoCellAnchor>
    <xdr:from>
      <xdr:col>4</xdr:col>
      <xdr:colOff>451555</xdr:colOff>
      <xdr:row>0</xdr:row>
      <xdr:rowOff>63499</xdr:rowOff>
    </xdr:from>
    <xdr:to>
      <xdr:col>10</xdr:col>
      <xdr:colOff>463743</xdr:colOff>
      <xdr:row>9</xdr:row>
      <xdr:rowOff>145600</xdr:rowOff>
    </xdr:to>
    <xdr:graphicFrame macro="">
      <xdr:nvGraphicFramePr>
        <xdr:cNvPr id="20" name="Chart 19">
          <a:extLst>
            <a:ext uri="{FF2B5EF4-FFF2-40B4-BE49-F238E27FC236}">
              <a16:creationId xmlns:a16="http://schemas.microsoft.com/office/drawing/2014/main" id="{502CD2D5-F878-439A-9362-78F34041C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42334</xdr:colOff>
      <xdr:row>0</xdr:row>
      <xdr:rowOff>65058</xdr:rowOff>
    </xdr:from>
    <xdr:to>
      <xdr:col>16</xdr:col>
      <xdr:colOff>472723</xdr:colOff>
      <xdr:row>10</xdr:row>
      <xdr:rowOff>5132</xdr:rowOff>
    </xdr:to>
    <xdr:sp macro="" textlink="">
      <xdr:nvSpPr>
        <xdr:cNvPr id="23" name="TextBox 22">
          <a:extLst>
            <a:ext uri="{FF2B5EF4-FFF2-40B4-BE49-F238E27FC236}">
              <a16:creationId xmlns:a16="http://schemas.microsoft.com/office/drawing/2014/main" id="{D6B0A7F2-69C4-532D-79CD-E6F8443D4E53}"/>
            </a:ext>
          </a:extLst>
        </xdr:cNvPr>
        <xdr:cNvSpPr txBox="1"/>
      </xdr:nvSpPr>
      <xdr:spPr>
        <a:xfrm>
          <a:off x="7231945" y="65058"/>
          <a:ext cx="3464278" cy="1774518"/>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How they like to buy?</a:t>
          </a:r>
        </a:p>
      </xdr:txBody>
    </xdr:sp>
    <xdr:clientData/>
  </xdr:twoCellAnchor>
  <xdr:twoCellAnchor>
    <xdr:from>
      <xdr:col>16</xdr:col>
      <xdr:colOff>585611</xdr:colOff>
      <xdr:row>0</xdr:row>
      <xdr:rowOff>45631</xdr:rowOff>
    </xdr:from>
    <xdr:to>
      <xdr:col>20</xdr:col>
      <xdr:colOff>372019</xdr:colOff>
      <xdr:row>7</xdr:row>
      <xdr:rowOff>162278</xdr:rowOff>
    </xdr:to>
    <xdr:graphicFrame macro="">
      <xdr:nvGraphicFramePr>
        <xdr:cNvPr id="24" name="Chart 23">
          <a:extLst>
            <a:ext uri="{FF2B5EF4-FFF2-40B4-BE49-F238E27FC236}">
              <a16:creationId xmlns:a16="http://schemas.microsoft.com/office/drawing/2014/main" id="{910A7B51-9238-4C01-9C84-185DBCA7D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451555</xdr:colOff>
      <xdr:row>10</xdr:row>
      <xdr:rowOff>67348</xdr:rowOff>
    </xdr:from>
    <xdr:to>
      <xdr:col>10</xdr:col>
      <xdr:colOff>463745</xdr:colOff>
      <xdr:row>22</xdr:row>
      <xdr:rowOff>155221</xdr:rowOff>
    </xdr:to>
    <xdr:graphicFrame macro="">
      <xdr:nvGraphicFramePr>
        <xdr:cNvPr id="25" name="Chart 24">
          <a:extLst>
            <a:ext uri="{FF2B5EF4-FFF2-40B4-BE49-F238E27FC236}">
              <a16:creationId xmlns:a16="http://schemas.microsoft.com/office/drawing/2014/main" id="{AD96FD82-84D6-43F5-99C3-C4182F71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63499</xdr:colOff>
      <xdr:row>17</xdr:row>
      <xdr:rowOff>105833</xdr:rowOff>
    </xdr:from>
    <xdr:to>
      <xdr:col>9</xdr:col>
      <xdr:colOff>3846</xdr:colOff>
      <xdr:row>22</xdr:row>
      <xdr:rowOff>75687</xdr:rowOff>
    </xdr:to>
    <xdr:graphicFrame macro="">
      <xdr:nvGraphicFramePr>
        <xdr:cNvPr id="27" name="Chart 26">
          <a:extLst>
            <a:ext uri="{FF2B5EF4-FFF2-40B4-BE49-F238E27FC236}">
              <a16:creationId xmlns:a16="http://schemas.microsoft.com/office/drawing/2014/main" id="{85989C97-830C-482B-A5C6-C41D8A8F1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42333</xdr:colOff>
      <xdr:row>10</xdr:row>
      <xdr:rowOff>94505</xdr:rowOff>
    </xdr:from>
    <xdr:to>
      <xdr:col>16</xdr:col>
      <xdr:colOff>486833</xdr:colOff>
      <xdr:row>22</xdr:row>
      <xdr:rowOff>169333</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3B104276-B796-4F05-80C4-2F4E81AB1A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49583" y="1936005"/>
              <a:ext cx="3492500" cy="22846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56445</xdr:colOff>
      <xdr:row>12</xdr:row>
      <xdr:rowOff>11547</xdr:rowOff>
    </xdr:from>
    <xdr:to>
      <xdr:col>16</xdr:col>
      <xdr:colOff>442576</xdr:colOff>
      <xdr:row>17</xdr:row>
      <xdr:rowOff>84665</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26928F2D-7880-43D0-8540-D1083DC03A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702095" y="2221347"/>
              <a:ext cx="995731" cy="9938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592667</xdr:colOff>
      <xdr:row>8</xdr:row>
      <xdr:rowOff>28222</xdr:rowOff>
    </xdr:from>
    <xdr:to>
      <xdr:col>20</xdr:col>
      <xdr:colOff>365607</xdr:colOff>
      <xdr:row>15</xdr:row>
      <xdr:rowOff>70555</xdr:rowOff>
    </xdr:to>
    <xdr:graphicFrame macro="">
      <xdr:nvGraphicFramePr>
        <xdr:cNvPr id="15" name="Chart 14">
          <a:extLst>
            <a:ext uri="{FF2B5EF4-FFF2-40B4-BE49-F238E27FC236}">
              <a16:creationId xmlns:a16="http://schemas.microsoft.com/office/drawing/2014/main" id="{15FF55FD-D6F5-4D7B-82C6-66C4E8628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585611</xdr:colOff>
      <xdr:row>15</xdr:row>
      <xdr:rowOff>105833</xdr:rowOff>
    </xdr:from>
    <xdr:to>
      <xdr:col>20</xdr:col>
      <xdr:colOff>376511</xdr:colOff>
      <xdr:row>22</xdr:row>
      <xdr:rowOff>148166</xdr:rowOff>
    </xdr:to>
    <xdr:graphicFrame macro="">
      <xdr:nvGraphicFramePr>
        <xdr:cNvPr id="18" name="Chart 17">
          <a:extLst>
            <a:ext uri="{FF2B5EF4-FFF2-40B4-BE49-F238E27FC236}">
              <a16:creationId xmlns:a16="http://schemas.microsoft.com/office/drawing/2014/main" id="{B1113D7D-BC60-463E-B978-3EB1F0CF8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84667</xdr:colOff>
          <xdr:row>1</xdr:row>
          <xdr:rowOff>70556</xdr:rowOff>
        </xdr:from>
        <xdr:to>
          <xdr:col>16</xdr:col>
          <xdr:colOff>375228</xdr:colOff>
          <xdr:row>9</xdr:row>
          <xdr:rowOff>176389</xdr:rowOff>
        </xdr:to>
        <xdr:pic>
          <xdr:nvPicPr>
            <xdr:cNvPr id="60" name="Picture 59">
              <a:extLst>
                <a:ext uri="{FF2B5EF4-FFF2-40B4-BE49-F238E27FC236}">
                  <a16:creationId xmlns:a16="http://schemas.microsoft.com/office/drawing/2014/main" id="{B7062B3F-1D35-A82F-9932-6C394DBB8DA3}"/>
                </a:ext>
              </a:extLst>
            </xdr:cNvPr>
            <xdr:cNvPicPr>
              <a:picLocks noChangeAspect="1" noChangeArrowheads="1"/>
              <a:extLst>
                <a:ext uri="{84589F7E-364E-4C9E-8A38-B11213B215E9}">
                  <a14:cameraTool cellRange="Sheet3!$H$4:$L$9" spid="_x0000_s3102"/>
                </a:ext>
              </a:extLst>
            </xdr:cNvPicPr>
          </xdr:nvPicPr>
          <xdr:blipFill>
            <a:blip xmlns:r="http://schemas.openxmlformats.org/officeDocument/2006/relationships" r:embed="rId9"/>
            <a:srcRect/>
            <a:stretch>
              <a:fillRect/>
            </a:stretch>
          </xdr:blipFill>
          <xdr:spPr bwMode="auto">
            <a:xfrm>
              <a:off x="7274278" y="254000"/>
              <a:ext cx="3324450" cy="157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1241777</xdr:colOff>
      <xdr:row>0</xdr:row>
      <xdr:rowOff>0</xdr:rowOff>
    </xdr:from>
    <xdr:to>
      <xdr:col>4</xdr:col>
      <xdr:colOff>409222</xdr:colOff>
      <xdr:row>25</xdr:row>
      <xdr:rowOff>84667</xdr:rowOff>
    </xdr:to>
    <xdr:sp macro="" textlink="">
      <xdr:nvSpPr>
        <xdr:cNvPr id="61" name="TextBox 60">
          <a:extLst>
            <a:ext uri="{FF2B5EF4-FFF2-40B4-BE49-F238E27FC236}">
              <a16:creationId xmlns:a16="http://schemas.microsoft.com/office/drawing/2014/main" id="{729CCEE2-4C81-96B8-48E1-27E8C02E4E39}"/>
            </a:ext>
          </a:extLst>
        </xdr:cNvPr>
        <xdr:cNvSpPr txBox="1"/>
      </xdr:nvSpPr>
      <xdr:spPr>
        <a:xfrm>
          <a:off x="1580444" y="0"/>
          <a:ext cx="1770945" cy="4670778"/>
        </a:xfrm>
        <a:prstGeom prst="rect">
          <a:avLst/>
        </a:prstGeom>
        <a:solidFill>
          <a:srgbClr val="D4AF3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xdr:col>
      <xdr:colOff>1319388</xdr:colOff>
      <xdr:row>2</xdr:row>
      <xdr:rowOff>14110</xdr:rowOff>
    </xdr:from>
    <xdr:to>
      <xdr:col>4</xdr:col>
      <xdr:colOff>345722</xdr:colOff>
      <xdr:row>11</xdr:row>
      <xdr:rowOff>162278</xdr:rowOff>
    </xdr:to>
    <mc:AlternateContent xmlns:mc="http://schemas.openxmlformats.org/markup-compatibility/2006" xmlns:a14="http://schemas.microsoft.com/office/drawing/2010/main">
      <mc:Choice Requires="a14">
        <xdr:graphicFrame macro="">
          <xdr:nvGraphicFramePr>
            <xdr:cNvPr id="63" name="Order Mode 3">
              <a:extLst>
                <a:ext uri="{FF2B5EF4-FFF2-40B4-BE49-F238E27FC236}">
                  <a16:creationId xmlns:a16="http://schemas.microsoft.com/office/drawing/2014/main" id="{82EE42DD-E695-48ED-80FC-3AA88012D3A2}"/>
                </a:ext>
              </a:extLst>
            </xdr:cNvPr>
            <xdr:cNvGraphicFramePr/>
          </xdr:nvGraphicFramePr>
          <xdr:xfrm>
            <a:off x="0" y="0"/>
            <a:ext cx="0" cy="0"/>
          </xdr:xfrm>
          <a:graphic>
            <a:graphicData uri="http://schemas.microsoft.com/office/drawing/2010/slicer">
              <sle:slicer xmlns:sle="http://schemas.microsoft.com/office/drawing/2010/slicer" name="Order Mode 3"/>
            </a:graphicData>
          </a:graphic>
        </xdr:graphicFrame>
      </mc:Choice>
      <mc:Fallback xmlns="">
        <xdr:sp macro="" textlink="">
          <xdr:nvSpPr>
            <xdr:cNvPr id="0" name=""/>
            <xdr:cNvSpPr>
              <a:spLocks noTextEdit="1"/>
            </xdr:cNvSpPr>
          </xdr:nvSpPr>
          <xdr:spPr>
            <a:xfrm>
              <a:off x="1658055" y="380999"/>
              <a:ext cx="1629834" cy="1799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1305278</xdr:colOff>
      <xdr:row>12</xdr:row>
      <xdr:rowOff>112889</xdr:rowOff>
    </xdr:from>
    <xdr:to>
      <xdr:col>4</xdr:col>
      <xdr:colOff>359833</xdr:colOff>
      <xdr:row>21</xdr:row>
      <xdr:rowOff>127000</xdr:rowOff>
    </xdr:to>
    <mc:AlternateContent xmlns:mc="http://schemas.openxmlformats.org/markup-compatibility/2006" xmlns:a14="http://schemas.microsoft.com/office/drawing/2010/main">
      <mc:Choice Requires="a14">
        <xdr:graphicFrame macro="">
          <xdr:nvGraphicFramePr>
            <xdr:cNvPr id="64" name="Gender Value 1">
              <a:extLst>
                <a:ext uri="{FF2B5EF4-FFF2-40B4-BE49-F238E27FC236}">
                  <a16:creationId xmlns:a16="http://schemas.microsoft.com/office/drawing/2014/main" id="{BAC94685-6241-4961-A0E8-9FCB71B206E5}"/>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643945" y="2314222"/>
              <a:ext cx="1658055" cy="1665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162278</xdr:colOff>
      <xdr:row>0</xdr:row>
      <xdr:rowOff>77611</xdr:rowOff>
    </xdr:from>
    <xdr:to>
      <xdr:col>20</xdr:col>
      <xdr:colOff>345723</xdr:colOff>
      <xdr:row>1</xdr:row>
      <xdr:rowOff>127000</xdr:rowOff>
    </xdr:to>
    <xdr:sp macro="" textlink="">
      <xdr:nvSpPr>
        <xdr:cNvPr id="65" name="TextBox 64">
          <a:extLst>
            <a:ext uri="{FF2B5EF4-FFF2-40B4-BE49-F238E27FC236}">
              <a16:creationId xmlns:a16="http://schemas.microsoft.com/office/drawing/2014/main" id="{C4C6A778-D98A-6A16-1603-BC17A4B02E05}"/>
            </a:ext>
          </a:extLst>
        </xdr:cNvPr>
        <xdr:cNvSpPr txBox="1"/>
      </xdr:nvSpPr>
      <xdr:spPr>
        <a:xfrm>
          <a:off x="11599334" y="77611"/>
          <a:ext cx="1397000" cy="232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How many they buy?</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0.1043</cdr:x>
      <cdr:y>0.04071</cdr:y>
    </cdr:from>
    <cdr:to>
      <cdr:x>0.86725</cdr:x>
      <cdr:y>0.15877</cdr:y>
    </cdr:to>
    <cdr:sp macro="" textlink="">
      <cdr:nvSpPr>
        <cdr:cNvPr id="2" name="TextBox 1">
          <a:extLst xmlns:a="http://schemas.openxmlformats.org/drawingml/2006/main">
            <a:ext uri="{FF2B5EF4-FFF2-40B4-BE49-F238E27FC236}">
              <a16:creationId xmlns:a16="http://schemas.microsoft.com/office/drawing/2014/main" id="{2160AC64-F9AF-EB06-56D8-5A1051551625}"/>
            </a:ext>
          </a:extLst>
        </cdr:cNvPr>
        <cdr:cNvSpPr txBox="1"/>
      </cdr:nvSpPr>
      <cdr:spPr>
        <a:xfrm xmlns:a="http://schemas.openxmlformats.org/drawingml/2006/main">
          <a:off x="381001" y="70557"/>
          <a:ext cx="2786944" cy="204611"/>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r>
            <a:rPr lang="en-IN" sz="1050" b="1" kern="1200"/>
            <a:t>Last</a:t>
          </a:r>
          <a:r>
            <a:rPr lang="en-IN" sz="1050" b="1" kern="1200" baseline="0"/>
            <a:t> 13 Week Trends - Qty &amp; Amount</a:t>
          </a:r>
          <a:endParaRPr lang="en-IN" sz="105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0.19563</cdr:x>
      <cdr:y>0.02128</cdr:y>
    </cdr:from>
    <cdr:to>
      <cdr:x>0.95568</cdr:x>
      <cdr:y>0.27128</cdr:y>
    </cdr:to>
    <cdr:sp macro="" textlink="">
      <cdr:nvSpPr>
        <cdr:cNvPr id="2" name="TextBox 1">
          <a:extLst xmlns:a="http://schemas.openxmlformats.org/drawingml/2006/main">
            <a:ext uri="{FF2B5EF4-FFF2-40B4-BE49-F238E27FC236}">
              <a16:creationId xmlns:a16="http://schemas.microsoft.com/office/drawing/2014/main" id="{99EA96DE-9994-2EF6-A8FC-4406AE7D536F}"/>
            </a:ext>
          </a:extLst>
        </cdr:cNvPr>
        <cdr:cNvSpPr txBox="1"/>
      </cdr:nvSpPr>
      <cdr:spPr>
        <a:xfrm xmlns:a="http://schemas.openxmlformats.org/drawingml/2006/main">
          <a:off x="430389" y="28222"/>
          <a:ext cx="1672166" cy="3316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How long we take to ship?</a:t>
          </a:r>
        </a:p>
      </cdr:txBody>
    </cdr:sp>
  </cdr:relSizeAnchor>
</c:userShapes>
</file>

<file path=xl/drawings/drawing4.xml><?xml version="1.0" encoding="utf-8"?>
<c:userShapes xmlns:c="http://schemas.openxmlformats.org/drawingml/2006/chart">
  <cdr:relSizeAnchor xmlns:cdr="http://schemas.openxmlformats.org/drawingml/2006/chartDrawing">
    <cdr:from>
      <cdr:x>0.00954</cdr:x>
      <cdr:y>0</cdr:y>
    </cdr:from>
    <cdr:to>
      <cdr:x>1</cdr:x>
      <cdr:y>0.16489</cdr:y>
    </cdr:to>
    <cdr:sp macro="" textlink="">
      <cdr:nvSpPr>
        <cdr:cNvPr id="2" name="TextBox 1">
          <a:extLst xmlns:a="http://schemas.openxmlformats.org/drawingml/2006/main">
            <a:ext uri="{FF2B5EF4-FFF2-40B4-BE49-F238E27FC236}">
              <a16:creationId xmlns:a16="http://schemas.microsoft.com/office/drawing/2014/main" id="{74E00D53-7319-3C8D-A646-9A24DB0780FA}"/>
            </a:ext>
          </a:extLst>
        </cdr:cNvPr>
        <cdr:cNvSpPr txBox="1"/>
      </cdr:nvSpPr>
      <cdr:spPr>
        <a:xfrm xmlns:a="http://schemas.openxmlformats.org/drawingml/2006/main">
          <a:off x="21167" y="0"/>
          <a:ext cx="2196844" cy="218722"/>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r>
            <a:rPr lang="en-IN" sz="1100" b="1" kern="1200"/>
            <a:t>How</a:t>
          </a:r>
          <a:r>
            <a:rPr lang="en-IN" sz="1100" b="1" kern="1200" baseline="0"/>
            <a:t> satisfied are the customers?</a:t>
          </a:r>
          <a:endParaRPr lang="en-IN" sz="11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590550</xdr:colOff>
      <xdr:row>2</xdr:row>
      <xdr:rowOff>165100</xdr:rowOff>
    </xdr:from>
    <xdr:to>
      <xdr:col>9</xdr:col>
      <xdr:colOff>190500</xdr:colOff>
      <xdr:row>17</xdr:row>
      <xdr:rowOff>146050</xdr:rowOff>
    </xdr:to>
    <xdr:graphicFrame macro="">
      <xdr:nvGraphicFramePr>
        <xdr:cNvPr id="2" name="Chart 1">
          <a:extLst>
            <a:ext uri="{FF2B5EF4-FFF2-40B4-BE49-F238E27FC236}">
              <a16:creationId xmlns:a16="http://schemas.microsoft.com/office/drawing/2014/main" id="{94212A08-ECAC-CFC0-5274-75E7B6CFF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1292225</xdr:colOff>
      <xdr:row>41</xdr:row>
      <xdr:rowOff>95250</xdr:rowOff>
    </xdr:from>
    <xdr:to>
      <xdr:col>4</xdr:col>
      <xdr:colOff>1146175</xdr:colOff>
      <xdr:row>56</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811C3E0-D3D4-D172-8965-F50432AD5C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2225" y="76454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177800</xdr:colOff>
      <xdr:row>2</xdr:row>
      <xdr:rowOff>168275</xdr:rowOff>
    </xdr:from>
    <xdr:to>
      <xdr:col>9</xdr:col>
      <xdr:colOff>482600</xdr:colOff>
      <xdr:row>17</xdr:row>
      <xdr:rowOff>149225</xdr:rowOff>
    </xdr:to>
    <xdr:graphicFrame macro="">
      <xdr:nvGraphicFramePr>
        <xdr:cNvPr id="2" name="Chart 1">
          <a:extLst>
            <a:ext uri="{FF2B5EF4-FFF2-40B4-BE49-F238E27FC236}">
              <a16:creationId xmlns:a16="http://schemas.microsoft.com/office/drawing/2014/main" id="{5A319414-A630-FA26-D764-6CB4C1958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88900</xdr:colOff>
      <xdr:row>3</xdr:row>
      <xdr:rowOff>158750</xdr:rowOff>
    </xdr:from>
    <xdr:to>
      <xdr:col>12</xdr:col>
      <xdr:colOff>393700</xdr:colOff>
      <xdr:row>18</xdr:row>
      <xdr:rowOff>15872</xdr:rowOff>
    </xdr:to>
    <mc:AlternateContent xmlns:mc="http://schemas.openxmlformats.org/markup-compatibility/2006" xmlns:a14="http://schemas.microsoft.com/office/drawing/2010/main">
      <mc:Choice Requires="a14">
        <xdr:graphicFrame macro="">
          <xdr:nvGraphicFramePr>
            <xdr:cNvPr id="5" name="Order Mode">
              <a:extLst>
                <a:ext uri="{FF2B5EF4-FFF2-40B4-BE49-F238E27FC236}">
                  <a16:creationId xmlns:a16="http://schemas.microsoft.com/office/drawing/2014/main" id="{67307454-6083-6FD5-8A5F-4D082368726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911600" y="7112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241300</xdr:colOff>
      <xdr:row>3</xdr:row>
      <xdr:rowOff>12700</xdr:rowOff>
    </xdr:from>
    <xdr:to>
      <xdr:col>21</xdr:col>
      <xdr:colOff>381000</xdr:colOff>
      <xdr:row>17</xdr:row>
      <xdr:rowOff>53972</xdr:rowOff>
    </xdr:to>
    <mc:AlternateContent xmlns:mc="http://schemas.openxmlformats.org/markup-compatibility/2006" xmlns:a14="http://schemas.microsoft.com/office/drawing/2010/main">
      <mc:Choice Requires="a14">
        <xdr:graphicFrame macro="">
          <xdr:nvGraphicFramePr>
            <xdr:cNvPr id="6" name="Gender Value">
              <a:extLst>
                <a:ext uri="{FF2B5EF4-FFF2-40B4-BE49-F238E27FC236}">
                  <a16:creationId xmlns:a16="http://schemas.microsoft.com/office/drawing/2014/main" id="{47AB91AD-E5F8-8CC9-35FC-7DB95E5E9AC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838950" y="565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1</xdr:col>
      <xdr:colOff>6350</xdr:colOff>
      <xdr:row>4</xdr:row>
      <xdr:rowOff>12700</xdr:rowOff>
    </xdr:from>
    <xdr:to>
      <xdr:col>1</xdr:col>
      <xdr:colOff>1358900</xdr:colOff>
      <xdr:row>8</xdr:row>
      <xdr:rowOff>57150</xdr:rowOff>
    </xdr:to>
    <xdr:sp macro="" textlink="">
      <xdr:nvSpPr>
        <xdr:cNvPr id="5" name="TextBox 4">
          <a:extLst>
            <a:ext uri="{FF2B5EF4-FFF2-40B4-BE49-F238E27FC236}">
              <a16:creationId xmlns:a16="http://schemas.microsoft.com/office/drawing/2014/main" id="{ABEAF47C-E328-52B2-E2DD-4552A92811ED}"/>
            </a:ext>
          </a:extLst>
        </xdr:cNvPr>
        <xdr:cNvSpPr txBox="1"/>
      </xdr:nvSpPr>
      <xdr:spPr>
        <a:xfrm>
          <a:off x="241300" y="749300"/>
          <a:ext cx="135255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xdr:col>
      <xdr:colOff>196850</xdr:colOff>
      <xdr:row>0</xdr:row>
      <xdr:rowOff>0</xdr:rowOff>
    </xdr:from>
    <xdr:to>
      <xdr:col>6</xdr:col>
      <xdr:colOff>336550</xdr:colOff>
      <xdr:row>14</xdr:row>
      <xdr:rowOff>41272</xdr:rowOff>
    </xdr:to>
    <mc:AlternateContent xmlns:mc="http://schemas.openxmlformats.org/markup-compatibility/2006" xmlns:a14="http://schemas.microsoft.com/office/drawing/2010/main">
      <mc:Choice Requires="a14">
        <xdr:graphicFrame macro="">
          <xdr:nvGraphicFramePr>
            <xdr:cNvPr id="8" name="Order Mode 1">
              <a:extLst>
                <a:ext uri="{FF2B5EF4-FFF2-40B4-BE49-F238E27FC236}">
                  <a16:creationId xmlns:a16="http://schemas.microsoft.com/office/drawing/2014/main" id="{B7F90F3F-2A45-412A-A1B8-5A61F88D3841}"/>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81200" y="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0</xdr:row>
      <xdr:rowOff>152400</xdr:rowOff>
    </xdr:from>
    <xdr:to>
      <xdr:col>6</xdr:col>
      <xdr:colOff>488950</xdr:colOff>
      <xdr:row>15</xdr:row>
      <xdr:rowOff>9522</xdr:rowOff>
    </xdr:to>
    <mc:AlternateContent xmlns:mc="http://schemas.openxmlformats.org/markup-compatibility/2006" xmlns:a14="http://schemas.microsoft.com/office/drawing/2010/main">
      <mc:Choice Requires="a14">
        <xdr:graphicFrame macro="">
          <xdr:nvGraphicFramePr>
            <xdr:cNvPr id="10" name="Order Mode 2">
              <a:extLst>
                <a:ext uri="{FF2B5EF4-FFF2-40B4-BE49-F238E27FC236}">
                  <a16:creationId xmlns:a16="http://schemas.microsoft.com/office/drawing/2014/main" id="{E191E23D-F628-43CF-9A08-D925DAF7E034}"/>
                </a:ext>
              </a:extLst>
            </xdr:cNvPr>
            <xdr:cNvGraphicFramePr/>
          </xdr:nvGraphicFramePr>
          <xdr:xfrm>
            <a:off x="0" y="0"/>
            <a:ext cx="0" cy="0"/>
          </xdr:xfrm>
          <a:graphic>
            <a:graphicData uri="http://schemas.microsoft.com/office/drawing/2010/slicer">
              <sle:slicer xmlns:sle="http://schemas.microsoft.com/office/drawing/2010/slicer" name="Order Mode 2"/>
            </a:graphicData>
          </a:graphic>
        </xdr:graphicFrame>
      </mc:Choice>
      <mc:Fallback xmlns="">
        <xdr:sp macro="" textlink="">
          <xdr:nvSpPr>
            <xdr:cNvPr id="0" name=""/>
            <xdr:cNvSpPr>
              <a:spLocks noTextEdit="1"/>
            </xdr:cNvSpPr>
          </xdr:nvSpPr>
          <xdr:spPr>
            <a:xfrm>
              <a:off x="2133600" y="1524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patil" refreshedDate="46316.889960995373" createdVersion="8" refreshedVersion="8" minRefreshableVersion="3" recordCount="2400" xr:uid="{B7E476B2-F939-4A77-8B03-9328396ABF2C}">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ntainsBlank="1"/>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0382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m/>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5A12F-42FD-48B3-9D12-FAE935F6B0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470C37-1496-4D7D-8029-791AB2EDF1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D901D9-F235-49C0-A9D9-5CE059AFB4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69615-6F46-491B-A67F-7BE26DA960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8:N13"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4" count="1" selected="0">
            <x v="0"/>
          </reference>
        </references>
      </pivotArea>
    </chartFormat>
    <chartFormat chart="27" format="8">
      <pivotArea type="data" outline="0" fieldPosition="0">
        <references count="2">
          <reference field="4294967294" count="1" selected="0">
            <x v="0"/>
          </reference>
          <reference field="14" count="1" selected="0">
            <x v="1"/>
          </reference>
        </references>
      </pivotArea>
    </chartFormat>
    <chartFormat chart="27" format="9">
      <pivotArea type="data" outline="0" fieldPosition="0">
        <references count="2">
          <reference field="4294967294" count="1" selected="0">
            <x v="0"/>
          </reference>
          <reference field="14" count="1" selected="0">
            <x v="2"/>
          </reference>
        </references>
      </pivotArea>
    </chartFormat>
    <chartFormat chart="2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57BC1D-6E82-44BB-AE44-8041775677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6D25A1-206A-4034-9770-F576F2509DCB}"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918FFE-89C6-4BA6-8CCD-DAC669EE65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28AF2A-3F03-401B-A241-47D2E84303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4E4A46-EB5A-4AAD-8806-1ECCFDCBDF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8" format="10" series="1">
      <pivotArea type="data" outline="0" fieldPosition="0">
        <references count="2">
          <reference field="4294967294" count="1" selected="0">
            <x v="0"/>
          </reference>
          <reference field="9" count="1" selected="0">
            <x v="0"/>
          </reference>
        </references>
      </pivotArea>
    </chartFormat>
    <chartFormat chart="8" format="11" series="1">
      <pivotArea type="data" outline="0" fieldPosition="0">
        <references count="2">
          <reference field="4294967294" count="1" selected="0">
            <x v="0"/>
          </reference>
          <reference field="9" count="1" selected="0">
            <x v="1"/>
          </reference>
        </references>
      </pivotArea>
    </chartFormat>
    <chartFormat chart="8" format="12" series="1">
      <pivotArea type="data" outline="0" fieldPosition="0">
        <references count="2">
          <reference field="4294967294" count="1" selected="0">
            <x v="0"/>
          </reference>
          <reference field="9" count="1" selected="0">
            <x v="2"/>
          </reference>
        </references>
      </pivotArea>
    </chartFormat>
    <chartFormat chart="8" format="13" series="1">
      <pivotArea type="data" outline="0" fieldPosition="0">
        <references count="2">
          <reference field="4294967294" count="1" selected="0">
            <x v="0"/>
          </reference>
          <reference field="9" count="1" selected="0">
            <x v="3"/>
          </reference>
        </references>
      </pivotArea>
    </chartFormat>
    <chartFormat chart="8"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4EFAC16-64CE-4D3F-9692-B97F33232415}" sourceName="Order Mode">
  <pivotTables>
    <pivotTable tabId="12" name="PivotTable2"/>
    <pivotTable tabId="5" name="PivotTable1"/>
    <pivotTable tabId="5" name="PivotTable2"/>
    <pivotTable tabId="11" name="PivotTable1"/>
    <pivotTable tabId="7" name="PivotTable3"/>
    <pivotTable tabId="8" name="PivotTable4"/>
    <pivotTable tabId="9" name="PivotTable5"/>
    <pivotTable tabId="9" name="PivotTable6"/>
    <pivotTable tabId="10" name="PivotTable7"/>
  </pivotTables>
  <data>
    <tabular pivotCacheId="8038219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874C5C2-5D17-4668-A8DC-315994DEC0D9}" sourceName="Gender Value">
  <pivotTables>
    <pivotTable tabId="12" name="PivotTable2"/>
    <pivotTable tabId="5" name="PivotTable1"/>
    <pivotTable tabId="5" name="PivotTable2"/>
    <pivotTable tabId="11" name="PivotTable1"/>
    <pivotTable tabId="7" name="PivotTable3"/>
    <pivotTable tabId="8" name="PivotTable4"/>
    <pivotTable tabId="9" name="PivotTable5"/>
    <pivotTable tabId="9" name="PivotTable6"/>
    <pivotTable tabId="10" name="PivotTable7"/>
  </pivotTables>
  <data>
    <tabular pivotCacheId="8038219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3" xr10:uid="{94CEDB4C-C903-4706-8123-97547EC2898D}" cache="Slicer_Order_Mode" caption="Order Mode" style="SlicerStyleDark6" rowHeight="251883"/>
  <slicer name="Gender Value 1" xr10:uid="{F9233021-6DB1-481B-A485-FF4E840A4903}" cache="Slicer_Gender_Value" caption="Gender Value" style="SlicerStyleDark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5CC499B0-B6E8-482B-907B-5CB62339EBEC}" cache="Slicer_Order_Mode" caption="Order Mode" rowHeight="251883"/>
  <slicer name="Gender Value" xr10:uid="{B3F57873-EDE0-4716-AE2D-73B5468827E6}" cache="Slicer_Gender_Value" caption="Gender Valu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D426C342-1DFC-4A2C-A65E-F2B6AEEEFF2D}" cache="Slicer_Order_Mode" caption="Order Mode" rowHeight="251883"/>
  <slicer name="Order Mode 2" xr10:uid="{49B28766-869C-41BF-996D-CDF8A694F58D}" cache="Slicer_Order_Mode" caption="Order 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68F9-C044-4378-B261-97540453E76B}">
  <dimension ref="A1"/>
  <sheetViews>
    <sheetView tabSelected="1" zoomScale="90" zoomScaleNormal="90" workbookViewId="0">
      <selection activeCell="U21" sqref="U21"/>
    </sheetView>
  </sheetViews>
  <sheetFormatPr defaultRowHeight="14.5" x14ac:dyDescent="0.35"/>
  <cols>
    <col min="1" max="1" width="4.81640625" style="12" customWidth="1"/>
    <col min="2" max="2" width="23.7265625" style="12" customWidth="1"/>
    <col min="3" max="3" width="4.81640625" style="12" customWidth="1"/>
    <col min="4" max="16384" width="8.7265625" style="1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93B27-B4DA-4FE0-9189-30101664257A}">
  <dimension ref="A2:K25"/>
  <sheetViews>
    <sheetView workbookViewId="0">
      <selection activeCell="C12" sqref="C12"/>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s>
  <sheetData>
    <row r="2" spans="1:11" x14ac:dyDescent="0.35">
      <c r="G2" t="s">
        <v>2524</v>
      </c>
    </row>
    <row r="3" spans="1:11" x14ac:dyDescent="0.35">
      <c r="A3" t="s">
        <v>2519</v>
      </c>
      <c r="B3" t="s">
        <v>2520</v>
      </c>
      <c r="C3" t="s">
        <v>2521</v>
      </c>
      <c r="D3" t="s">
        <v>2522</v>
      </c>
      <c r="E3" t="s">
        <v>2523</v>
      </c>
      <c r="G3" t="s">
        <v>2518</v>
      </c>
      <c r="H3" t="s">
        <v>2525</v>
      </c>
      <c r="I3" t="s">
        <v>4</v>
      </c>
      <c r="J3" t="s">
        <v>2507</v>
      </c>
      <c r="K3" t="s">
        <v>2526</v>
      </c>
    </row>
    <row r="4" spans="1:11" x14ac:dyDescent="0.35">
      <c r="A4">
        <v>2400</v>
      </c>
      <c r="B4">
        <v>11997</v>
      </c>
      <c r="C4">
        <v>649019.80000000144</v>
      </c>
      <c r="D4">
        <v>3.9620833333333332</v>
      </c>
      <c r="E4">
        <v>2.3424999999999998</v>
      </c>
      <c r="G4" t="str">
        <f>TEXT(A4,"#,##")</f>
        <v>2,400</v>
      </c>
      <c r="H4" t="str">
        <f>TEXT(B4,"#,##")</f>
        <v>11,997</v>
      </c>
      <c r="I4" t="str">
        <f>TEXT(C4,"$#,##,.0k")</f>
        <v>$649.0k</v>
      </c>
      <c r="J4" t="str">
        <f>TEXT(D4,"0.0")</f>
        <v>4.0</v>
      </c>
      <c r="K4" t="str">
        <f>TEXT(E4,"0.0")</f>
        <v>2.3</v>
      </c>
    </row>
    <row r="11" spans="1:11" x14ac:dyDescent="0.35">
      <c r="A11" s="6" t="s">
        <v>2527</v>
      </c>
      <c r="B11" t="s">
        <v>2520</v>
      </c>
      <c r="C11" t="s">
        <v>2521</v>
      </c>
    </row>
    <row r="12" spans="1:11" x14ac:dyDescent="0.35">
      <c r="A12" s="7">
        <v>1</v>
      </c>
      <c r="B12">
        <v>546</v>
      </c>
      <c r="C12" s="8">
        <v>32413.300000000003</v>
      </c>
    </row>
    <row r="13" spans="1:11" x14ac:dyDescent="0.35">
      <c r="A13" s="7">
        <v>2</v>
      </c>
      <c r="B13">
        <v>905</v>
      </c>
      <c r="C13" s="8">
        <v>49562.999999999993</v>
      </c>
    </row>
    <row r="14" spans="1:11" x14ac:dyDescent="0.35">
      <c r="A14" s="7">
        <v>3</v>
      </c>
      <c r="B14">
        <v>796</v>
      </c>
      <c r="C14" s="8">
        <v>41700.400000000016</v>
      </c>
    </row>
    <row r="15" spans="1:11" x14ac:dyDescent="0.35">
      <c r="A15" s="7">
        <v>4</v>
      </c>
      <c r="B15">
        <v>913</v>
      </c>
      <c r="C15" s="8">
        <v>46782.599999999984</v>
      </c>
    </row>
    <row r="16" spans="1:11" x14ac:dyDescent="0.35">
      <c r="A16" s="7">
        <v>5</v>
      </c>
      <c r="B16">
        <v>844</v>
      </c>
      <c r="C16" s="8">
        <v>42676.100000000006</v>
      </c>
    </row>
    <row r="17" spans="1:3" x14ac:dyDescent="0.35">
      <c r="A17" s="7">
        <v>6</v>
      </c>
      <c r="B17">
        <v>1202</v>
      </c>
      <c r="C17" s="8">
        <v>62910.7</v>
      </c>
    </row>
    <row r="18" spans="1:3" x14ac:dyDescent="0.35">
      <c r="A18" s="7">
        <v>7</v>
      </c>
      <c r="B18">
        <v>935</v>
      </c>
      <c r="C18" s="8">
        <v>50332.200000000004</v>
      </c>
    </row>
    <row r="19" spans="1:3" x14ac:dyDescent="0.35">
      <c r="A19" s="7">
        <v>8</v>
      </c>
      <c r="B19">
        <v>1128</v>
      </c>
      <c r="C19" s="8">
        <v>58760.599999999977</v>
      </c>
    </row>
    <row r="20" spans="1:3" x14ac:dyDescent="0.35">
      <c r="A20" s="7">
        <v>9</v>
      </c>
      <c r="B20">
        <v>1007</v>
      </c>
      <c r="C20" s="8">
        <v>52017.299999999996</v>
      </c>
    </row>
    <row r="21" spans="1:3" x14ac:dyDescent="0.35">
      <c r="A21" s="7">
        <v>10</v>
      </c>
      <c r="B21">
        <v>1128</v>
      </c>
      <c r="C21" s="8">
        <v>64915.700000000033</v>
      </c>
    </row>
    <row r="22" spans="1:3" x14ac:dyDescent="0.35">
      <c r="A22" s="7">
        <v>11</v>
      </c>
      <c r="B22">
        <v>861</v>
      </c>
      <c r="C22" s="8">
        <v>45943.80000000001</v>
      </c>
    </row>
    <row r="23" spans="1:3" x14ac:dyDescent="0.35">
      <c r="A23" s="7">
        <v>12</v>
      </c>
      <c r="B23">
        <v>944</v>
      </c>
      <c r="C23" s="8">
        <v>55077.900000000031</v>
      </c>
    </row>
    <row r="24" spans="1:3" x14ac:dyDescent="0.35">
      <c r="A24" s="7">
        <v>13</v>
      </c>
      <c r="B24">
        <v>788</v>
      </c>
      <c r="C24" s="8">
        <v>45926.19999999999</v>
      </c>
    </row>
    <row r="25" spans="1:3" x14ac:dyDescent="0.35">
      <c r="A25" s="7" t="s">
        <v>2528</v>
      </c>
      <c r="B25">
        <v>11997</v>
      </c>
      <c r="C25" s="8">
        <v>649019.79999999993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E414-47AD-468C-85EE-264425FAA285}">
  <dimension ref="A3:L10"/>
  <sheetViews>
    <sheetView showGridLines="0" workbookViewId="0">
      <selection activeCell="H4" sqref="H4:L9"/>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 min="8" max="8" width="10.1796875" customWidth="1"/>
    <col min="12" max="12" width="10.7265625" customWidth="1"/>
  </cols>
  <sheetData>
    <row r="3" spans="1:12" x14ac:dyDescent="0.35">
      <c r="A3" s="6" t="s">
        <v>2521</v>
      </c>
      <c r="B3" s="6" t="s">
        <v>2529</v>
      </c>
      <c r="H3" t="s">
        <v>2534</v>
      </c>
    </row>
    <row r="4" spans="1:12" x14ac:dyDescent="0.35">
      <c r="A4" s="6" t="s">
        <v>2527</v>
      </c>
      <c r="B4" t="s">
        <v>2530</v>
      </c>
      <c r="C4" t="s">
        <v>2531</v>
      </c>
      <c r="D4" t="s">
        <v>2532</v>
      </c>
      <c r="E4" t="s">
        <v>2533</v>
      </c>
      <c r="F4" t="s">
        <v>2528</v>
      </c>
      <c r="H4" s="13"/>
      <c r="I4" s="14" t="str">
        <f>B4</f>
        <v>Female</v>
      </c>
      <c r="J4" s="14" t="str">
        <f t="shared" ref="J4:L4" si="0">C4</f>
        <v>Male</v>
      </c>
      <c r="K4" s="14" t="str">
        <f t="shared" si="0"/>
        <v>Other</v>
      </c>
      <c r="L4" s="14" t="str">
        <f t="shared" si="0"/>
        <v>Unknown</v>
      </c>
    </row>
    <row r="5" spans="1:12" ht="20.5" customHeight="1" x14ac:dyDescent="0.35">
      <c r="A5" s="7" t="s">
        <v>18</v>
      </c>
      <c r="B5" s="9">
        <v>0.18961825201634841</v>
      </c>
      <c r="C5" s="9">
        <v>0.12262322351336576</v>
      </c>
      <c r="D5" s="9">
        <v>1.060537752469185E-2</v>
      </c>
      <c r="E5" s="9">
        <v>3.0599220547662797E-2</v>
      </c>
      <c r="F5" s="9">
        <v>0.35344607360206881</v>
      </c>
      <c r="H5" s="14" t="str">
        <f>A5</f>
        <v>App</v>
      </c>
      <c r="I5" s="15">
        <f t="shared" ref="I5:L9" si="1">B5</f>
        <v>0.18961825201634841</v>
      </c>
      <c r="J5" s="15">
        <f t="shared" si="1"/>
        <v>0.12262322351336576</v>
      </c>
      <c r="K5" s="15">
        <f t="shared" si="1"/>
        <v>1.060537752469185E-2</v>
      </c>
      <c r="L5" s="15">
        <f>E5</f>
        <v>3.0599220547662797E-2</v>
      </c>
    </row>
    <row r="6" spans="1:12" ht="25.5" customHeight="1" x14ac:dyDescent="0.35">
      <c r="A6" s="7" t="s">
        <v>51</v>
      </c>
      <c r="B6" s="9">
        <v>5.0283982091147303E-2</v>
      </c>
      <c r="C6" s="9">
        <v>4.3060781812819873E-2</v>
      </c>
      <c r="D6" s="9">
        <v>1.5320025675641944E-3</v>
      </c>
      <c r="E6" s="9">
        <v>1.7794988689097006E-2</v>
      </c>
      <c r="F6" s="9">
        <v>0.11267175516062837</v>
      </c>
      <c r="H6" s="14" t="str">
        <f t="shared" ref="H6:H9" si="2">A6</f>
        <v>Instagram</v>
      </c>
      <c r="I6" s="15">
        <f t="shared" si="1"/>
        <v>5.0283982091147303E-2</v>
      </c>
      <c r="J6" s="15">
        <f t="shared" si="1"/>
        <v>4.3060781812819873E-2</v>
      </c>
      <c r="K6" s="15">
        <f t="shared" si="1"/>
        <v>1.5320025675641944E-3</v>
      </c>
      <c r="L6" s="15">
        <f t="shared" si="1"/>
        <v>1.7794988689097006E-2</v>
      </c>
    </row>
    <row r="7" spans="1:12" ht="23" customHeight="1" x14ac:dyDescent="0.35">
      <c r="A7" s="7" t="s">
        <v>70</v>
      </c>
      <c r="B7" s="9">
        <v>6.3496059750411282E-2</v>
      </c>
      <c r="C7" s="9">
        <v>4.6071629863988765E-2</v>
      </c>
      <c r="D7" s="9">
        <v>2.306247051322625E-3</v>
      </c>
      <c r="E7" s="9">
        <v>3.8927934093844286E-3</v>
      </c>
      <c r="F7" s="9">
        <v>0.11576673007510711</v>
      </c>
      <c r="H7" s="14" t="str">
        <f t="shared" si="2"/>
        <v>Partner App</v>
      </c>
      <c r="I7" s="15">
        <f t="shared" si="1"/>
        <v>6.3496059750411282E-2</v>
      </c>
      <c r="J7" s="15">
        <f t="shared" si="1"/>
        <v>4.6071629863988765E-2</v>
      </c>
      <c r="K7" s="15">
        <f t="shared" si="1"/>
        <v>2.306247051322625E-3</v>
      </c>
      <c r="L7" s="15">
        <f t="shared" si="1"/>
        <v>3.8927934093844286E-3</v>
      </c>
    </row>
    <row r="8" spans="1:12" ht="21.5" customHeight="1" x14ac:dyDescent="0.35">
      <c r="A8" s="7" t="s">
        <v>40</v>
      </c>
      <c r="B8" s="9">
        <v>9.6337892927149532E-2</v>
      </c>
      <c r="C8" s="9">
        <v>6.7920115842382611E-2</v>
      </c>
      <c r="D8" s="9">
        <v>5.4979832664581261E-3</v>
      </c>
      <c r="E8" s="9">
        <v>1.2933041488102518E-2</v>
      </c>
      <c r="F8" s="9">
        <v>0.1826890335240928</v>
      </c>
      <c r="H8" s="14" t="str">
        <f t="shared" si="2"/>
        <v>Target.com</v>
      </c>
      <c r="I8" s="15">
        <f t="shared" si="1"/>
        <v>9.6337892927149532E-2</v>
      </c>
      <c r="J8" s="15">
        <f t="shared" si="1"/>
        <v>6.7920115842382611E-2</v>
      </c>
      <c r="K8" s="15">
        <f t="shared" si="1"/>
        <v>5.4979832664581261E-3</v>
      </c>
      <c r="L8" s="15">
        <f t="shared" si="1"/>
        <v>1.2933041488102518E-2</v>
      </c>
    </row>
    <row r="9" spans="1:12" ht="21.5" customHeight="1" x14ac:dyDescent="0.35">
      <c r="A9" s="7" t="s">
        <v>35</v>
      </c>
      <c r="B9" s="9">
        <v>0.12522098709469262</v>
      </c>
      <c r="C9" s="9">
        <v>9.1492740283116228E-2</v>
      </c>
      <c r="D9" s="9">
        <v>6.3042760790965081E-3</v>
      </c>
      <c r="E9" s="9">
        <v>1.2408404181197551E-2</v>
      </c>
      <c r="F9" s="9">
        <v>0.23542640763810288</v>
      </c>
      <c r="H9" s="14" t="str">
        <f t="shared" si="2"/>
        <v>Website</v>
      </c>
      <c r="I9" s="15">
        <f t="shared" si="1"/>
        <v>0.12522098709469262</v>
      </c>
      <c r="J9" s="15">
        <f t="shared" si="1"/>
        <v>9.1492740283116228E-2</v>
      </c>
      <c r="K9" s="15">
        <f t="shared" si="1"/>
        <v>6.3042760790965081E-3</v>
      </c>
      <c r="L9" s="15">
        <f t="shared" si="1"/>
        <v>1.2408404181197551E-2</v>
      </c>
    </row>
    <row r="10" spans="1:12" x14ac:dyDescent="0.35">
      <c r="A10" s="7" t="s">
        <v>2528</v>
      </c>
      <c r="B10" s="9">
        <v>0.52495717387974916</v>
      </c>
      <c r="C10" s="9">
        <v>0.3711684913156732</v>
      </c>
      <c r="D10" s="9">
        <v>2.6245886489133303E-2</v>
      </c>
      <c r="E10" s="9">
        <v>7.7628448315444312E-2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DD21-2DBC-4951-8E26-1F76F64701F2}">
  <dimension ref="A3:N25"/>
  <sheetViews>
    <sheetView topLeftCell="B1" workbookViewId="0">
      <selection activeCell="L17" sqref="L17"/>
    </sheetView>
  </sheetViews>
  <sheetFormatPr defaultRowHeight="14.5" x14ac:dyDescent="0.35"/>
  <cols>
    <col min="1" max="1" width="19" bestFit="1" customWidth="1"/>
    <col min="2" max="2" width="15.6328125" bestFit="1" customWidth="1"/>
    <col min="3" max="3" width="4.81640625" bestFit="1" customWidth="1"/>
    <col min="4" max="4" width="5.453125" bestFit="1" customWidth="1"/>
    <col min="6" max="6" width="10.36328125" bestFit="1" customWidth="1"/>
    <col min="13" max="13" width="12.453125" bestFit="1" customWidth="1"/>
    <col min="14" max="14" width="14.26953125" bestFit="1" customWidth="1"/>
    <col min="15" max="15" width="4.81640625" bestFit="1" customWidth="1"/>
    <col min="16" max="16" width="5.453125" bestFit="1" customWidth="1"/>
    <col min="18" max="18" width="10.36328125" bestFit="1" customWidth="1"/>
  </cols>
  <sheetData>
    <row r="3" spans="1:14" x14ac:dyDescent="0.35">
      <c r="A3" s="6" t="s">
        <v>2520</v>
      </c>
      <c r="B3" s="6" t="s">
        <v>2529</v>
      </c>
    </row>
    <row r="4" spans="1:14" x14ac:dyDescent="0.35">
      <c r="A4" s="6" t="s">
        <v>2527</v>
      </c>
      <c r="B4" t="s">
        <v>2530</v>
      </c>
      <c r="C4" t="s">
        <v>2531</v>
      </c>
      <c r="D4" t="s">
        <v>2532</v>
      </c>
      <c r="E4" t="s">
        <v>2533</v>
      </c>
      <c r="F4" t="s">
        <v>2528</v>
      </c>
    </row>
    <row r="5" spans="1:14" x14ac:dyDescent="0.35">
      <c r="A5" s="7" t="s">
        <v>44</v>
      </c>
      <c r="B5">
        <v>744</v>
      </c>
      <c r="C5">
        <v>713</v>
      </c>
      <c r="D5">
        <v>90</v>
      </c>
      <c r="E5">
        <v>98</v>
      </c>
      <c r="F5">
        <v>1645</v>
      </c>
    </row>
    <row r="6" spans="1:14" x14ac:dyDescent="0.35">
      <c r="A6" s="7" t="s">
        <v>39</v>
      </c>
      <c r="B6">
        <v>716</v>
      </c>
      <c r="C6">
        <v>598</v>
      </c>
      <c r="D6">
        <v>18</v>
      </c>
      <c r="E6">
        <v>214</v>
      </c>
      <c r="F6">
        <v>1546</v>
      </c>
    </row>
    <row r="7" spans="1:14" x14ac:dyDescent="0.35">
      <c r="A7" s="7" t="s">
        <v>26</v>
      </c>
      <c r="B7">
        <v>627</v>
      </c>
      <c r="C7">
        <v>393</v>
      </c>
      <c r="D7">
        <v>29</v>
      </c>
      <c r="E7">
        <v>137</v>
      </c>
      <c r="F7">
        <v>1186</v>
      </c>
    </row>
    <row r="8" spans="1:14" x14ac:dyDescent="0.35">
      <c r="A8" s="7" t="s">
        <v>22</v>
      </c>
      <c r="B8">
        <v>568</v>
      </c>
      <c r="C8">
        <v>306</v>
      </c>
      <c r="D8">
        <v>22</v>
      </c>
      <c r="E8">
        <v>16</v>
      </c>
      <c r="F8">
        <v>912</v>
      </c>
      <c r="M8" s="6" t="s">
        <v>2527</v>
      </c>
      <c r="N8" t="s">
        <v>2520</v>
      </c>
    </row>
    <row r="9" spans="1:14" x14ac:dyDescent="0.35">
      <c r="A9" s="7" t="s">
        <v>54</v>
      </c>
      <c r="B9">
        <v>482</v>
      </c>
      <c r="C9">
        <v>295</v>
      </c>
      <c r="D9">
        <v>8</v>
      </c>
      <c r="E9">
        <v>22</v>
      </c>
      <c r="F9">
        <v>807</v>
      </c>
      <c r="M9" s="7" t="s">
        <v>2530</v>
      </c>
      <c r="N9">
        <v>6272</v>
      </c>
    </row>
    <row r="10" spans="1:14" x14ac:dyDescent="0.35">
      <c r="A10" s="7" t="s">
        <v>16</v>
      </c>
      <c r="B10">
        <v>428</v>
      </c>
      <c r="C10">
        <v>293</v>
      </c>
      <c r="E10">
        <v>24</v>
      </c>
      <c r="F10">
        <v>745</v>
      </c>
      <c r="M10" s="7" t="s">
        <v>2531</v>
      </c>
      <c r="N10">
        <v>4672</v>
      </c>
    </row>
    <row r="11" spans="1:14" x14ac:dyDescent="0.35">
      <c r="A11" s="7" t="s">
        <v>46</v>
      </c>
      <c r="B11">
        <v>445</v>
      </c>
      <c r="C11">
        <v>202</v>
      </c>
      <c r="D11">
        <v>14</v>
      </c>
      <c r="E11">
        <v>39</v>
      </c>
      <c r="F11">
        <v>700</v>
      </c>
      <c r="M11" s="7" t="s">
        <v>2532</v>
      </c>
      <c r="N11">
        <v>317</v>
      </c>
    </row>
    <row r="12" spans="1:14" x14ac:dyDescent="0.35">
      <c r="A12" s="7" t="s">
        <v>32</v>
      </c>
      <c r="B12">
        <v>431</v>
      </c>
      <c r="C12">
        <v>187</v>
      </c>
      <c r="D12">
        <v>14</v>
      </c>
      <c r="E12">
        <v>15</v>
      </c>
      <c r="F12">
        <v>647</v>
      </c>
      <c r="M12" s="7" t="s">
        <v>2533</v>
      </c>
      <c r="N12">
        <v>736</v>
      </c>
    </row>
    <row r="13" spans="1:14" x14ac:dyDescent="0.35">
      <c r="A13" s="7" t="s">
        <v>42</v>
      </c>
      <c r="B13">
        <v>264</v>
      </c>
      <c r="C13">
        <v>318</v>
      </c>
      <c r="D13">
        <v>15</v>
      </c>
      <c r="E13">
        <v>9</v>
      </c>
      <c r="F13">
        <v>606</v>
      </c>
      <c r="M13" s="7" t="s">
        <v>2528</v>
      </c>
      <c r="N13">
        <v>11997</v>
      </c>
    </row>
    <row r="14" spans="1:14" x14ac:dyDescent="0.35">
      <c r="A14" s="7" t="s">
        <v>37</v>
      </c>
      <c r="B14">
        <v>296</v>
      </c>
      <c r="C14">
        <v>275</v>
      </c>
      <c r="D14">
        <v>9</v>
      </c>
      <c r="E14">
        <v>23</v>
      </c>
      <c r="F14">
        <v>603</v>
      </c>
    </row>
    <row r="15" spans="1:14" x14ac:dyDescent="0.35">
      <c r="A15" s="7" t="s">
        <v>123</v>
      </c>
      <c r="B15">
        <v>153</v>
      </c>
      <c r="C15">
        <v>246</v>
      </c>
      <c r="D15">
        <v>30</v>
      </c>
      <c r="E15">
        <v>8</v>
      </c>
      <c r="F15">
        <v>437</v>
      </c>
    </row>
    <row r="16" spans="1:14" x14ac:dyDescent="0.35">
      <c r="A16" s="7" t="s">
        <v>146</v>
      </c>
      <c r="B16">
        <v>189</v>
      </c>
      <c r="C16">
        <v>168</v>
      </c>
      <c r="D16">
        <v>10</v>
      </c>
      <c r="E16">
        <v>31</v>
      </c>
      <c r="F16">
        <v>398</v>
      </c>
    </row>
    <row r="17" spans="1:6" x14ac:dyDescent="0.35">
      <c r="A17" s="7" t="s">
        <v>69</v>
      </c>
      <c r="B17">
        <v>234</v>
      </c>
      <c r="C17">
        <v>93</v>
      </c>
      <c r="D17">
        <v>19</v>
      </c>
      <c r="E17">
        <v>24</v>
      </c>
      <c r="F17">
        <v>370</v>
      </c>
    </row>
    <row r="18" spans="1:6" x14ac:dyDescent="0.35">
      <c r="A18" s="7" t="s">
        <v>30</v>
      </c>
      <c r="B18">
        <v>146</v>
      </c>
      <c r="C18">
        <v>94</v>
      </c>
      <c r="D18">
        <v>4</v>
      </c>
      <c r="E18">
        <v>28</v>
      </c>
      <c r="F18">
        <v>272</v>
      </c>
    </row>
    <row r="19" spans="1:6" x14ac:dyDescent="0.35">
      <c r="A19" s="7" t="s">
        <v>135</v>
      </c>
      <c r="B19">
        <v>127</v>
      </c>
      <c r="C19">
        <v>118</v>
      </c>
      <c r="D19">
        <v>13</v>
      </c>
      <c r="E19">
        <v>12</v>
      </c>
      <c r="F19">
        <v>270</v>
      </c>
    </row>
    <row r="20" spans="1:6" x14ac:dyDescent="0.35">
      <c r="A20" s="7" t="s">
        <v>67</v>
      </c>
      <c r="B20">
        <v>179</v>
      </c>
      <c r="C20">
        <v>76</v>
      </c>
      <c r="D20">
        <v>3</v>
      </c>
      <c r="F20">
        <v>258</v>
      </c>
    </row>
    <row r="21" spans="1:6" x14ac:dyDescent="0.35">
      <c r="A21" s="7" t="s">
        <v>128</v>
      </c>
      <c r="B21">
        <v>99</v>
      </c>
      <c r="C21">
        <v>69</v>
      </c>
      <c r="D21">
        <v>3</v>
      </c>
      <c r="E21">
        <v>24</v>
      </c>
      <c r="F21">
        <v>195</v>
      </c>
    </row>
    <row r="22" spans="1:6" x14ac:dyDescent="0.35">
      <c r="A22" s="7" t="s">
        <v>76</v>
      </c>
      <c r="B22">
        <v>75</v>
      </c>
      <c r="C22">
        <v>103</v>
      </c>
      <c r="D22">
        <v>4</v>
      </c>
      <c r="E22">
        <v>6</v>
      </c>
      <c r="F22">
        <v>188</v>
      </c>
    </row>
    <row r="23" spans="1:6" x14ac:dyDescent="0.35">
      <c r="A23" s="7" t="s">
        <v>81</v>
      </c>
      <c r="B23">
        <v>43</v>
      </c>
      <c r="C23">
        <v>90</v>
      </c>
      <c r="D23">
        <v>8</v>
      </c>
      <c r="E23">
        <v>6</v>
      </c>
      <c r="F23">
        <v>147</v>
      </c>
    </row>
    <row r="24" spans="1:6" x14ac:dyDescent="0.35">
      <c r="A24" s="7" t="s">
        <v>171</v>
      </c>
      <c r="B24">
        <v>26</v>
      </c>
      <c r="C24">
        <v>35</v>
      </c>
      <c r="D24">
        <v>4</v>
      </c>
      <c r="F24">
        <v>65</v>
      </c>
    </row>
    <row r="25" spans="1:6" x14ac:dyDescent="0.35">
      <c r="A25" s="7" t="s">
        <v>2528</v>
      </c>
      <c r="B25">
        <v>6272</v>
      </c>
      <c r="C25">
        <v>4672</v>
      </c>
      <c r="D25">
        <v>317</v>
      </c>
      <c r="E25">
        <v>736</v>
      </c>
      <c r="F25">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B711-9EA8-49DF-BBA4-B68B9B9F7F66}">
  <dimension ref="A3:L63"/>
  <sheetViews>
    <sheetView topLeftCell="B1" workbookViewId="0">
      <selection activeCell="G8" sqref="F3:H61"/>
    </sheetView>
  </sheetViews>
  <sheetFormatPr defaultRowHeight="14.5" x14ac:dyDescent="0.35"/>
  <cols>
    <col min="1" max="2" width="19.81640625" bestFit="1" customWidth="1"/>
    <col min="3" max="3" width="14.26953125" bestFit="1" customWidth="1"/>
    <col min="4" max="4" width="13.6328125" bestFit="1" customWidth="1"/>
    <col min="5" max="5" width="18.1796875" bestFit="1" customWidth="1"/>
    <col min="7" max="7" width="15" customWidth="1"/>
    <col min="8" max="8" width="14.1796875" customWidth="1"/>
    <col min="10" max="10" width="9.81640625" customWidth="1"/>
    <col min="11" max="11" width="19.1796875" customWidth="1"/>
    <col min="12" max="12" width="13.54296875" customWidth="1"/>
  </cols>
  <sheetData>
    <row r="3" spans="1:12" x14ac:dyDescent="0.35">
      <c r="A3" s="6" t="s">
        <v>10</v>
      </c>
      <c r="B3" s="6" t="s">
        <v>11</v>
      </c>
      <c r="C3" t="s">
        <v>2520</v>
      </c>
      <c r="D3" t="s">
        <v>2521</v>
      </c>
      <c r="F3" s="5" t="s">
        <v>10</v>
      </c>
      <c r="G3" s="5" t="s">
        <v>11</v>
      </c>
      <c r="H3" s="5" t="s">
        <v>2520</v>
      </c>
      <c r="J3" s="5" t="s">
        <v>10</v>
      </c>
      <c r="K3" s="5" t="s">
        <v>11</v>
      </c>
      <c r="L3" s="5" t="s">
        <v>2521</v>
      </c>
    </row>
    <row r="4" spans="1:12" x14ac:dyDescent="0.35">
      <c r="A4" t="s">
        <v>19</v>
      </c>
      <c r="B4" t="s">
        <v>115</v>
      </c>
      <c r="C4">
        <v>579</v>
      </c>
      <c r="D4">
        <v>31884.999999999996</v>
      </c>
      <c r="F4" s="10" t="s">
        <v>19</v>
      </c>
      <c r="G4" t="s">
        <v>115</v>
      </c>
      <c r="H4">
        <v>579</v>
      </c>
      <c r="J4" s="10" t="s">
        <v>19</v>
      </c>
      <c r="K4" t="s">
        <v>115</v>
      </c>
      <c r="L4">
        <v>31884.999999999996</v>
      </c>
    </row>
    <row r="5" spans="1:12" x14ac:dyDescent="0.35">
      <c r="A5" t="s">
        <v>19</v>
      </c>
      <c r="B5" t="s">
        <v>20</v>
      </c>
      <c r="C5">
        <v>1</v>
      </c>
      <c r="D5">
        <v>10.9</v>
      </c>
      <c r="F5" s="10" t="s">
        <v>19</v>
      </c>
      <c r="G5" t="s">
        <v>20</v>
      </c>
      <c r="H5">
        <v>1</v>
      </c>
      <c r="J5" s="10" t="s">
        <v>19</v>
      </c>
      <c r="K5" t="s">
        <v>20</v>
      </c>
      <c r="L5">
        <v>10.9</v>
      </c>
    </row>
    <row r="6" spans="1:12" x14ac:dyDescent="0.35">
      <c r="A6" t="s">
        <v>19</v>
      </c>
      <c r="B6" t="s">
        <v>641</v>
      </c>
      <c r="C6">
        <v>9</v>
      </c>
      <c r="D6">
        <v>800.3</v>
      </c>
      <c r="F6" s="10" t="s">
        <v>19</v>
      </c>
      <c r="G6" t="s">
        <v>641</v>
      </c>
      <c r="H6">
        <v>9</v>
      </c>
      <c r="J6" s="10" t="s">
        <v>19</v>
      </c>
      <c r="K6" t="s">
        <v>641</v>
      </c>
      <c r="L6">
        <v>800.3</v>
      </c>
    </row>
    <row r="7" spans="1:12" x14ac:dyDescent="0.35">
      <c r="A7" t="s">
        <v>19</v>
      </c>
      <c r="B7" t="s">
        <v>967</v>
      </c>
      <c r="C7">
        <v>35</v>
      </c>
      <c r="D7">
        <v>1062.5999999999999</v>
      </c>
      <c r="F7" s="10" t="s">
        <v>19</v>
      </c>
      <c r="G7" t="s">
        <v>967</v>
      </c>
      <c r="H7">
        <v>35</v>
      </c>
      <c r="J7" s="10" t="s">
        <v>19</v>
      </c>
      <c r="K7" t="s">
        <v>967</v>
      </c>
      <c r="L7">
        <v>1062.5999999999999</v>
      </c>
    </row>
    <row r="8" spans="1:12" x14ac:dyDescent="0.35">
      <c r="A8" t="s">
        <v>19</v>
      </c>
      <c r="B8" t="s">
        <v>84</v>
      </c>
      <c r="C8">
        <v>12</v>
      </c>
      <c r="D8">
        <v>326.20000000000005</v>
      </c>
      <c r="F8" s="10" t="s">
        <v>19</v>
      </c>
      <c r="G8" t="s">
        <v>84</v>
      </c>
      <c r="H8">
        <v>12</v>
      </c>
      <c r="J8" s="10" t="s">
        <v>19</v>
      </c>
      <c r="K8" t="s">
        <v>84</v>
      </c>
      <c r="L8">
        <v>326.20000000000005</v>
      </c>
    </row>
    <row r="9" spans="1:12" x14ac:dyDescent="0.35">
      <c r="A9" t="s">
        <v>19</v>
      </c>
      <c r="B9" t="s">
        <v>1383</v>
      </c>
      <c r="C9">
        <v>4</v>
      </c>
      <c r="D9">
        <v>167.5</v>
      </c>
      <c r="F9" s="10" t="s">
        <v>19</v>
      </c>
      <c r="G9" t="s">
        <v>1383</v>
      </c>
      <c r="H9">
        <v>4</v>
      </c>
      <c r="J9" s="10" t="s">
        <v>19</v>
      </c>
      <c r="K9" t="s">
        <v>1383</v>
      </c>
      <c r="L9">
        <v>167.5</v>
      </c>
    </row>
    <row r="10" spans="1:12" x14ac:dyDescent="0.35">
      <c r="A10" t="s">
        <v>19</v>
      </c>
      <c r="B10" t="s">
        <v>24</v>
      </c>
      <c r="C10">
        <v>341</v>
      </c>
      <c r="D10">
        <v>16168.7</v>
      </c>
      <c r="F10" s="10" t="s">
        <v>19</v>
      </c>
      <c r="G10" t="s">
        <v>24</v>
      </c>
      <c r="H10">
        <v>341</v>
      </c>
      <c r="J10" s="10" t="s">
        <v>19</v>
      </c>
      <c r="K10" t="s">
        <v>24</v>
      </c>
      <c r="L10">
        <v>16168.7</v>
      </c>
    </row>
    <row r="11" spans="1:12" x14ac:dyDescent="0.35">
      <c r="A11" t="s">
        <v>19</v>
      </c>
      <c r="B11" t="s">
        <v>2204</v>
      </c>
      <c r="C11">
        <v>13</v>
      </c>
      <c r="D11">
        <v>322.40000000000003</v>
      </c>
      <c r="F11" s="10" t="s">
        <v>19</v>
      </c>
      <c r="G11" t="s">
        <v>2204</v>
      </c>
      <c r="H11">
        <v>13</v>
      </c>
      <c r="J11" s="10" t="s">
        <v>19</v>
      </c>
      <c r="K11" t="s">
        <v>2204</v>
      </c>
      <c r="L11">
        <v>322.40000000000003</v>
      </c>
    </row>
    <row r="12" spans="1:12" x14ac:dyDescent="0.35">
      <c r="A12" t="s">
        <v>19</v>
      </c>
      <c r="B12" t="s">
        <v>437</v>
      </c>
      <c r="C12">
        <v>31</v>
      </c>
      <c r="D12">
        <v>2092.8000000000002</v>
      </c>
      <c r="F12" s="10" t="s">
        <v>19</v>
      </c>
      <c r="G12" t="s">
        <v>437</v>
      </c>
      <c r="H12">
        <v>31</v>
      </c>
      <c r="J12" s="10" t="s">
        <v>19</v>
      </c>
      <c r="K12" t="s">
        <v>437</v>
      </c>
      <c r="L12">
        <v>2092.8000000000002</v>
      </c>
    </row>
    <row r="13" spans="1:12" x14ac:dyDescent="0.35">
      <c r="A13" t="s">
        <v>19</v>
      </c>
      <c r="B13" t="s">
        <v>28</v>
      </c>
      <c r="C13">
        <v>279</v>
      </c>
      <c r="D13">
        <v>12662.500000000002</v>
      </c>
      <c r="F13" s="10" t="s">
        <v>19</v>
      </c>
      <c r="G13" t="s">
        <v>28</v>
      </c>
      <c r="H13">
        <v>279</v>
      </c>
      <c r="J13" s="10" t="s">
        <v>19</v>
      </c>
      <c r="K13" t="s">
        <v>28</v>
      </c>
      <c r="L13">
        <v>12662.500000000002</v>
      </c>
    </row>
    <row r="14" spans="1:12" x14ac:dyDescent="0.35">
      <c r="A14" t="s">
        <v>19</v>
      </c>
      <c r="B14" t="s">
        <v>208</v>
      </c>
      <c r="C14">
        <v>9</v>
      </c>
      <c r="D14">
        <v>343.2</v>
      </c>
      <c r="F14" s="10" t="s">
        <v>19</v>
      </c>
      <c r="G14" t="s">
        <v>208</v>
      </c>
      <c r="H14">
        <v>9</v>
      </c>
      <c r="J14" s="10" t="s">
        <v>19</v>
      </c>
      <c r="K14" t="s">
        <v>208</v>
      </c>
      <c r="L14">
        <v>343.2</v>
      </c>
    </row>
    <row r="15" spans="1:12" x14ac:dyDescent="0.35">
      <c r="A15" t="s">
        <v>19</v>
      </c>
      <c r="B15" t="s">
        <v>587</v>
      </c>
      <c r="C15">
        <v>49</v>
      </c>
      <c r="D15">
        <v>2188.2999999999997</v>
      </c>
      <c r="F15" s="10" t="s">
        <v>19</v>
      </c>
      <c r="G15" t="s">
        <v>587</v>
      </c>
      <c r="H15">
        <v>49</v>
      </c>
      <c r="J15" s="10" t="s">
        <v>19</v>
      </c>
      <c r="K15" t="s">
        <v>587</v>
      </c>
      <c r="L15">
        <v>2188.2999999999997</v>
      </c>
    </row>
    <row r="16" spans="1:12" x14ac:dyDescent="0.35">
      <c r="A16" t="s">
        <v>19</v>
      </c>
      <c r="B16" t="s">
        <v>331</v>
      </c>
      <c r="C16">
        <v>59</v>
      </c>
      <c r="D16">
        <v>2661.5999999999995</v>
      </c>
      <c r="F16" s="10" t="s">
        <v>19</v>
      </c>
      <c r="G16" t="s">
        <v>331</v>
      </c>
      <c r="H16">
        <v>59</v>
      </c>
      <c r="J16" s="10" t="s">
        <v>19</v>
      </c>
      <c r="K16" t="s">
        <v>331</v>
      </c>
      <c r="L16">
        <v>2661.5999999999995</v>
      </c>
    </row>
    <row r="17" spans="1:12" x14ac:dyDescent="0.35">
      <c r="A17" t="s">
        <v>19</v>
      </c>
      <c r="B17" t="s">
        <v>86</v>
      </c>
      <c r="C17">
        <v>8</v>
      </c>
      <c r="D17">
        <v>887.5</v>
      </c>
      <c r="F17" s="10" t="s">
        <v>19</v>
      </c>
      <c r="G17" t="s">
        <v>86</v>
      </c>
      <c r="H17">
        <v>8</v>
      </c>
      <c r="J17" s="10" t="s">
        <v>19</v>
      </c>
      <c r="K17" t="s">
        <v>86</v>
      </c>
      <c r="L17">
        <v>887.5</v>
      </c>
    </row>
    <row r="18" spans="1:12" x14ac:dyDescent="0.35">
      <c r="A18" t="s">
        <v>19</v>
      </c>
      <c r="B18" t="s">
        <v>147</v>
      </c>
      <c r="C18">
        <v>222</v>
      </c>
      <c r="D18">
        <v>11354.199999999993</v>
      </c>
      <c r="F18" s="10" t="s">
        <v>19</v>
      </c>
      <c r="G18" t="s">
        <v>147</v>
      </c>
      <c r="H18">
        <v>222</v>
      </c>
      <c r="J18" s="10" t="s">
        <v>19</v>
      </c>
      <c r="K18" t="s">
        <v>147</v>
      </c>
      <c r="L18">
        <v>11354.199999999993</v>
      </c>
    </row>
    <row r="19" spans="1:12" x14ac:dyDescent="0.35">
      <c r="A19" t="s">
        <v>19</v>
      </c>
      <c r="B19" t="s">
        <v>334</v>
      </c>
      <c r="C19">
        <v>36</v>
      </c>
      <c r="D19">
        <v>1558.4</v>
      </c>
      <c r="F19" s="10" t="s">
        <v>19</v>
      </c>
      <c r="G19" t="s">
        <v>334</v>
      </c>
      <c r="H19">
        <v>36</v>
      </c>
      <c r="J19" s="10" t="s">
        <v>19</v>
      </c>
      <c r="K19" t="s">
        <v>334</v>
      </c>
      <c r="L19">
        <v>1558.4</v>
      </c>
    </row>
    <row r="20" spans="1:12" x14ac:dyDescent="0.35">
      <c r="A20" t="s">
        <v>19</v>
      </c>
      <c r="B20" t="s">
        <v>949</v>
      </c>
      <c r="C20">
        <v>30</v>
      </c>
      <c r="D20">
        <v>2223.9</v>
      </c>
      <c r="F20" s="10" t="s">
        <v>19</v>
      </c>
      <c r="G20" t="s">
        <v>949</v>
      </c>
      <c r="H20">
        <v>30</v>
      </c>
      <c r="J20" s="10" t="s">
        <v>19</v>
      </c>
      <c r="K20" t="s">
        <v>949</v>
      </c>
      <c r="L20">
        <v>2223.9</v>
      </c>
    </row>
    <row r="21" spans="1:12" x14ac:dyDescent="0.35">
      <c r="A21" t="s">
        <v>19</v>
      </c>
      <c r="B21" t="s">
        <v>1426</v>
      </c>
      <c r="C21">
        <v>1</v>
      </c>
      <c r="D21">
        <v>26.2</v>
      </c>
      <c r="F21" s="10" t="s">
        <v>19</v>
      </c>
      <c r="G21" t="s">
        <v>1426</v>
      </c>
      <c r="H21">
        <v>1</v>
      </c>
      <c r="J21" s="10" t="s">
        <v>19</v>
      </c>
      <c r="K21" t="s">
        <v>1426</v>
      </c>
      <c r="L21">
        <v>26.2</v>
      </c>
    </row>
    <row r="22" spans="1:12" x14ac:dyDescent="0.35">
      <c r="A22" t="s">
        <v>19</v>
      </c>
      <c r="B22" t="s">
        <v>33</v>
      </c>
      <c r="C22">
        <v>3991</v>
      </c>
      <c r="D22">
        <v>215551.19999999981</v>
      </c>
      <c r="F22" s="10" t="s">
        <v>19</v>
      </c>
      <c r="G22" t="s">
        <v>33</v>
      </c>
      <c r="H22">
        <v>3991</v>
      </c>
      <c r="J22" s="10" t="s">
        <v>19</v>
      </c>
      <c r="K22" t="s">
        <v>33</v>
      </c>
      <c r="L22">
        <v>215551.19999999981</v>
      </c>
    </row>
    <row r="23" spans="1:12" x14ac:dyDescent="0.35">
      <c r="A23" t="s">
        <v>19</v>
      </c>
      <c r="B23" t="s">
        <v>364</v>
      </c>
      <c r="C23">
        <v>45</v>
      </c>
      <c r="D23">
        <v>2687.3999999999996</v>
      </c>
      <c r="F23" s="10" t="s">
        <v>19</v>
      </c>
      <c r="G23" t="s">
        <v>364</v>
      </c>
      <c r="H23">
        <v>45</v>
      </c>
      <c r="J23" s="10" t="s">
        <v>19</v>
      </c>
      <c r="K23" t="s">
        <v>364</v>
      </c>
      <c r="L23">
        <v>2687.3999999999996</v>
      </c>
    </row>
    <row r="24" spans="1:12" x14ac:dyDescent="0.35">
      <c r="A24" t="s">
        <v>19</v>
      </c>
      <c r="B24" t="s">
        <v>545</v>
      </c>
      <c r="C24">
        <v>39</v>
      </c>
      <c r="D24">
        <v>1463.3000000000002</v>
      </c>
      <c r="F24" s="10" t="s">
        <v>19</v>
      </c>
      <c r="G24" t="s">
        <v>545</v>
      </c>
      <c r="H24">
        <v>39</v>
      </c>
      <c r="J24" s="10" t="s">
        <v>19</v>
      </c>
      <c r="K24" t="s">
        <v>545</v>
      </c>
      <c r="L24">
        <v>1463.3000000000002</v>
      </c>
    </row>
    <row r="25" spans="1:12" x14ac:dyDescent="0.35">
      <c r="A25" t="s">
        <v>19</v>
      </c>
      <c r="B25" t="s">
        <v>416</v>
      </c>
      <c r="C25">
        <v>6</v>
      </c>
      <c r="D25">
        <v>445.79999999999995</v>
      </c>
      <c r="F25" s="10" t="s">
        <v>19</v>
      </c>
      <c r="G25" t="s">
        <v>416</v>
      </c>
      <c r="H25">
        <v>6</v>
      </c>
      <c r="J25" s="10" t="s">
        <v>19</v>
      </c>
      <c r="K25" t="s">
        <v>416</v>
      </c>
      <c r="L25">
        <v>445.79999999999995</v>
      </c>
    </row>
    <row r="26" spans="1:12" x14ac:dyDescent="0.35">
      <c r="A26" t="s">
        <v>19</v>
      </c>
      <c r="B26" t="s">
        <v>258</v>
      </c>
      <c r="C26">
        <v>9</v>
      </c>
      <c r="D26">
        <v>273.59999999999997</v>
      </c>
      <c r="F26" s="10" t="s">
        <v>19</v>
      </c>
      <c r="G26" t="s">
        <v>258</v>
      </c>
      <c r="H26">
        <v>9</v>
      </c>
      <c r="J26" s="10" t="s">
        <v>19</v>
      </c>
      <c r="K26" t="s">
        <v>258</v>
      </c>
      <c r="L26">
        <v>273.59999999999997</v>
      </c>
    </row>
    <row r="27" spans="1:12" x14ac:dyDescent="0.35">
      <c r="A27" t="s">
        <v>19</v>
      </c>
      <c r="B27" t="s">
        <v>186</v>
      </c>
      <c r="C27">
        <v>60</v>
      </c>
      <c r="D27">
        <v>2690.4</v>
      </c>
      <c r="F27" s="10" t="s">
        <v>19</v>
      </c>
      <c r="G27" t="s">
        <v>186</v>
      </c>
      <c r="H27">
        <v>60</v>
      </c>
      <c r="J27" s="10" t="s">
        <v>19</v>
      </c>
      <c r="K27" t="s">
        <v>186</v>
      </c>
      <c r="L27">
        <v>2690.4</v>
      </c>
    </row>
    <row r="28" spans="1:12" x14ac:dyDescent="0.35">
      <c r="A28" t="s">
        <v>19</v>
      </c>
      <c r="B28" t="s">
        <v>392</v>
      </c>
      <c r="C28">
        <v>2</v>
      </c>
      <c r="D28">
        <v>28.4</v>
      </c>
      <c r="F28" s="10" t="s">
        <v>19</v>
      </c>
      <c r="G28" t="s">
        <v>392</v>
      </c>
      <c r="H28">
        <v>2</v>
      </c>
      <c r="J28" s="10" t="s">
        <v>19</v>
      </c>
      <c r="K28" t="s">
        <v>392</v>
      </c>
      <c r="L28">
        <v>28.4</v>
      </c>
    </row>
    <row r="29" spans="1:12" x14ac:dyDescent="0.35">
      <c r="A29" t="s">
        <v>19</v>
      </c>
      <c r="B29" t="s">
        <v>670</v>
      </c>
      <c r="C29">
        <v>4</v>
      </c>
      <c r="D29">
        <v>204.8</v>
      </c>
      <c r="F29" s="10" t="s">
        <v>19</v>
      </c>
      <c r="G29" t="s">
        <v>670</v>
      </c>
      <c r="H29">
        <v>4</v>
      </c>
      <c r="J29" s="10" t="s">
        <v>19</v>
      </c>
      <c r="K29" t="s">
        <v>670</v>
      </c>
      <c r="L29">
        <v>204.8</v>
      </c>
    </row>
    <row r="30" spans="1:12" x14ac:dyDescent="0.35">
      <c r="A30" t="s">
        <v>19</v>
      </c>
      <c r="B30" t="s">
        <v>802</v>
      </c>
      <c r="C30">
        <v>31</v>
      </c>
      <c r="D30">
        <v>1607.8999999999999</v>
      </c>
      <c r="F30" s="10" t="s">
        <v>19</v>
      </c>
      <c r="G30" t="s">
        <v>802</v>
      </c>
      <c r="H30">
        <v>31</v>
      </c>
      <c r="J30" s="10" t="s">
        <v>19</v>
      </c>
      <c r="K30" t="s">
        <v>802</v>
      </c>
      <c r="L30">
        <v>1607.8999999999999</v>
      </c>
    </row>
    <row r="31" spans="1:12" x14ac:dyDescent="0.35">
      <c r="A31" t="s">
        <v>19</v>
      </c>
      <c r="B31" t="s">
        <v>98</v>
      </c>
      <c r="C31">
        <v>88</v>
      </c>
      <c r="D31">
        <v>6444.9</v>
      </c>
      <c r="F31" s="10" t="s">
        <v>19</v>
      </c>
      <c r="G31" t="s">
        <v>98</v>
      </c>
      <c r="H31">
        <v>88</v>
      </c>
      <c r="J31" s="10" t="s">
        <v>19</v>
      </c>
      <c r="K31" t="s">
        <v>98</v>
      </c>
      <c r="L31">
        <v>6444.9</v>
      </c>
    </row>
    <row r="32" spans="1:12" x14ac:dyDescent="0.35">
      <c r="A32" t="s">
        <v>19</v>
      </c>
      <c r="B32" t="s">
        <v>49</v>
      </c>
      <c r="C32">
        <v>25</v>
      </c>
      <c r="D32">
        <v>1809.3</v>
      </c>
      <c r="F32" s="10" t="s">
        <v>19</v>
      </c>
      <c r="G32" t="s">
        <v>49</v>
      </c>
      <c r="H32">
        <v>25</v>
      </c>
      <c r="J32" s="10" t="s">
        <v>19</v>
      </c>
      <c r="K32" t="s">
        <v>49</v>
      </c>
      <c r="L32">
        <v>1809.3</v>
      </c>
    </row>
    <row r="33" spans="1:12" x14ac:dyDescent="0.35">
      <c r="A33" t="s">
        <v>19</v>
      </c>
      <c r="B33" t="s">
        <v>188</v>
      </c>
      <c r="C33">
        <v>178</v>
      </c>
      <c r="D33">
        <v>9680.399999999996</v>
      </c>
      <c r="F33" s="10" t="s">
        <v>19</v>
      </c>
      <c r="G33" t="s">
        <v>188</v>
      </c>
      <c r="H33">
        <v>178</v>
      </c>
      <c r="J33" s="10" t="s">
        <v>19</v>
      </c>
      <c r="K33" t="s">
        <v>188</v>
      </c>
      <c r="L33">
        <v>9680.399999999996</v>
      </c>
    </row>
    <row r="34" spans="1:12" x14ac:dyDescent="0.35">
      <c r="A34" t="s">
        <v>19</v>
      </c>
      <c r="B34" t="s">
        <v>52</v>
      </c>
      <c r="C34">
        <v>141</v>
      </c>
      <c r="D34">
        <v>9414.7999999999993</v>
      </c>
      <c r="F34" s="10" t="s">
        <v>19</v>
      </c>
      <c r="G34" t="s">
        <v>52</v>
      </c>
      <c r="H34">
        <v>141</v>
      </c>
      <c r="J34" s="10" t="s">
        <v>19</v>
      </c>
      <c r="K34" t="s">
        <v>52</v>
      </c>
      <c r="L34">
        <v>9414.7999999999993</v>
      </c>
    </row>
    <row r="35" spans="1:12" x14ac:dyDescent="0.35">
      <c r="A35" t="s">
        <v>19</v>
      </c>
      <c r="B35" t="s">
        <v>338</v>
      </c>
      <c r="C35">
        <v>6</v>
      </c>
      <c r="D35">
        <v>206.1</v>
      </c>
      <c r="F35" s="10" t="s">
        <v>19</v>
      </c>
      <c r="G35" t="s">
        <v>338</v>
      </c>
      <c r="H35">
        <v>6</v>
      </c>
      <c r="J35" s="10" t="s">
        <v>19</v>
      </c>
      <c r="K35" t="s">
        <v>338</v>
      </c>
      <c r="L35">
        <v>206.1</v>
      </c>
    </row>
    <row r="36" spans="1:12" x14ac:dyDescent="0.35">
      <c r="A36" t="s">
        <v>19</v>
      </c>
      <c r="B36" t="s">
        <v>158</v>
      </c>
      <c r="C36">
        <v>178</v>
      </c>
      <c r="D36">
        <v>7691.3</v>
      </c>
      <c r="F36" s="10" t="s">
        <v>19</v>
      </c>
      <c r="G36" t="s">
        <v>158</v>
      </c>
      <c r="H36">
        <v>178</v>
      </c>
      <c r="J36" s="10" t="s">
        <v>19</v>
      </c>
      <c r="K36" t="s">
        <v>158</v>
      </c>
      <c r="L36">
        <v>7691.3</v>
      </c>
    </row>
    <row r="37" spans="1:12" x14ac:dyDescent="0.35">
      <c r="A37" t="s">
        <v>19</v>
      </c>
      <c r="B37" t="s">
        <v>55</v>
      </c>
      <c r="C37">
        <v>699</v>
      </c>
      <c r="D37">
        <v>37784.900000000016</v>
      </c>
      <c r="F37" s="10" t="s">
        <v>19</v>
      </c>
      <c r="G37" t="s">
        <v>55</v>
      </c>
      <c r="H37">
        <v>699</v>
      </c>
      <c r="J37" s="10" t="s">
        <v>19</v>
      </c>
      <c r="K37" t="s">
        <v>55</v>
      </c>
      <c r="L37">
        <v>37784.900000000016</v>
      </c>
    </row>
    <row r="38" spans="1:12" x14ac:dyDescent="0.35">
      <c r="A38" t="s">
        <v>19</v>
      </c>
      <c r="B38" t="s">
        <v>342</v>
      </c>
      <c r="C38">
        <v>23</v>
      </c>
      <c r="D38">
        <v>1129.7</v>
      </c>
      <c r="F38" s="10" t="s">
        <v>19</v>
      </c>
      <c r="G38" t="s">
        <v>342</v>
      </c>
      <c r="H38">
        <v>23</v>
      </c>
      <c r="J38" s="10" t="s">
        <v>19</v>
      </c>
      <c r="K38" t="s">
        <v>342</v>
      </c>
      <c r="L38">
        <v>1129.7</v>
      </c>
    </row>
    <row r="39" spans="1:12" x14ac:dyDescent="0.35">
      <c r="A39" t="s">
        <v>19</v>
      </c>
      <c r="B39" t="s">
        <v>59</v>
      </c>
      <c r="C39">
        <v>356</v>
      </c>
      <c r="D39">
        <v>20988.9</v>
      </c>
      <c r="F39" s="10" t="s">
        <v>19</v>
      </c>
      <c r="G39" t="s">
        <v>59</v>
      </c>
      <c r="H39">
        <v>356</v>
      </c>
      <c r="J39" s="10" t="s">
        <v>19</v>
      </c>
      <c r="K39" t="s">
        <v>59</v>
      </c>
      <c r="L39">
        <v>20988.9</v>
      </c>
    </row>
    <row r="40" spans="1:12" x14ac:dyDescent="0.35">
      <c r="A40" t="s">
        <v>19</v>
      </c>
      <c r="B40" t="s">
        <v>62</v>
      </c>
      <c r="C40">
        <v>1768</v>
      </c>
      <c r="D40">
        <v>98367.099999999977</v>
      </c>
      <c r="F40" s="10" t="s">
        <v>19</v>
      </c>
      <c r="G40" t="s">
        <v>62</v>
      </c>
      <c r="H40">
        <v>1768</v>
      </c>
      <c r="J40" s="10" t="s">
        <v>19</v>
      </c>
      <c r="K40" t="s">
        <v>62</v>
      </c>
      <c r="L40">
        <v>98367.099999999977</v>
      </c>
    </row>
    <row r="41" spans="1:12" x14ac:dyDescent="0.35">
      <c r="A41" t="s">
        <v>19</v>
      </c>
      <c r="B41" t="s">
        <v>103</v>
      </c>
      <c r="C41">
        <v>307</v>
      </c>
      <c r="D41">
        <v>21911.9</v>
      </c>
      <c r="F41" s="10" t="s">
        <v>19</v>
      </c>
      <c r="G41" t="s">
        <v>103</v>
      </c>
      <c r="H41">
        <v>307</v>
      </c>
      <c r="J41" s="10" t="s">
        <v>19</v>
      </c>
      <c r="K41" t="s">
        <v>103</v>
      </c>
      <c r="L41">
        <v>21911.9</v>
      </c>
    </row>
    <row r="42" spans="1:12" x14ac:dyDescent="0.35">
      <c r="A42" t="s">
        <v>19</v>
      </c>
      <c r="B42" t="s">
        <v>201</v>
      </c>
      <c r="C42">
        <v>117</v>
      </c>
      <c r="D42">
        <v>5441.2</v>
      </c>
      <c r="F42" s="10" t="s">
        <v>19</v>
      </c>
      <c r="G42" t="s">
        <v>201</v>
      </c>
      <c r="H42">
        <v>117</v>
      </c>
      <c r="J42" s="10" t="s">
        <v>19</v>
      </c>
      <c r="K42" t="s">
        <v>201</v>
      </c>
      <c r="L42">
        <v>5441.2</v>
      </c>
    </row>
    <row r="43" spans="1:12" x14ac:dyDescent="0.35">
      <c r="A43" t="s">
        <v>19</v>
      </c>
      <c r="B43" t="s">
        <v>429</v>
      </c>
      <c r="C43">
        <v>13</v>
      </c>
      <c r="D43">
        <v>392.8</v>
      </c>
      <c r="F43" s="10" t="s">
        <v>19</v>
      </c>
      <c r="G43" t="s">
        <v>429</v>
      </c>
      <c r="H43">
        <v>13</v>
      </c>
      <c r="J43" s="10" t="s">
        <v>19</v>
      </c>
      <c r="K43" t="s">
        <v>429</v>
      </c>
      <c r="L43">
        <v>392.8</v>
      </c>
    </row>
    <row r="44" spans="1:12" x14ac:dyDescent="0.35">
      <c r="A44" t="s">
        <v>19</v>
      </c>
      <c r="B44" t="s">
        <v>72</v>
      </c>
      <c r="C44">
        <v>364</v>
      </c>
      <c r="D44">
        <v>16172.000000000005</v>
      </c>
      <c r="F44" s="10" t="s">
        <v>19</v>
      </c>
      <c r="G44" t="s">
        <v>72</v>
      </c>
      <c r="H44">
        <v>364</v>
      </c>
      <c r="J44" s="10" t="s">
        <v>19</v>
      </c>
      <c r="K44" t="s">
        <v>72</v>
      </c>
      <c r="L44">
        <v>16172.000000000005</v>
      </c>
    </row>
    <row r="45" spans="1:12" x14ac:dyDescent="0.35">
      <c r="A45" t="s">
        <v>19</v>
      </c>
      <c r="B45" t="s">
        <v>74</v>
      </c>
      <c r="C45">
        <v>95</v>
      </c>
      <c r="D45">
        <v>4334.9999999999991</v>
      </c>
      <c r="F45" s="10" t="s">
        <v>19</v>
      </c>
      <c r="G45" t="s">
        <v>74</v>
      </c>
      <c r="H45">
        <v>95</v>
      </c>
      <c r="J45" s="10" t="s">
        <v>19</v>
      </c>
      <c r="K45" t="s">
        <v>74</v>
      </c>
      <c r="L45">
        <v>4334.9999999999991</v>
      </c>
    </row>
    <row r="46" spans="1:12" x14ac:dyDescent="0.35">
      <c r="A46" t="s">
        <v>19</v>
      </c>
      <c r="B46" t="s">
        <v>77</v>
      </c>
      <c r="C46">
        <v>737</v>
      </c>
      <c r="D46">
        <v>37449.000000000007</v>
      </c>
      <c r="F46" s="10" t="s">
        <v>19</v>
      </c>
      <c r="G46" t="s">
        <v>77</v>
      </c>
      <c r="H46">
        <v>737</v>
      </c>
      <c r="J46" s="10" t="s">
        <v>19</v>
      </c>
      <c r="K46" t="s">
        <v>77</v>
      </c>
      <c r="L46">
        <v>37449.000000000007</v>
      </c>
    </row>
    <row r="47" spans="1:12" x14ac:dyDescent="0.35">
      <c r="A47" t="s">
        <v>19</v>
      </c>
      <c r="B47" t="s">
        <v>309</v>
      </c>
      <c r="C47">
        <v>39</v>
      </c>
      <c r="D47">
        <v>2447.5</v>
      </c>
      <c r="F47" s="10" t="s">
        <v>19</v>
      </c>
      <c r="G47" t="s">
        <v>309</v>
      </c>
      <c r="H47">
        <v>39</v>
      </c>
      <c r="J47" s="10" t="s">
        <v>19</v>
      </c>
      <c r="K47" t="s">
        <v>309</v>
      </c>
      <c r="L47">
        <v>2447.5</v>
      </c>
    </row>
    <row r="48" spans="1:12" x14ac:dyDescent="0.35">
      <c r="A48" t="s">
        <v>19</v>
      </c>
      <c r="B48" t="s">
        <v>1116</v>
      </c>
      <c r="C48">
        <v>56</v>
      </c>
      <c r="D48">
        <v>3391.1</v>
      </c>
      <c r="F48" s="10" t="s">
        <v>19</v>
      </c>
      <c r="G48" t="s">
        <v>1116</v>
      </c>
      <c r="H48">
        <v>56</v>
      </c>
      <c r="J48" s="10" t="s">
        <v>19</v>
      </c>
      <c r="K48" t="s">
        <v>1116</v>
      </c>
      <c r="L48">
        <v>3391.1</v>
      </c>
    </row>
    <row r="49" spans="1:12" x14ac:dyDescent="0.35">
      <c r="A49" t="s">
        <v>19</v>
      </c>
      <c r="B49" t="s">
        <v>700</v>
      </c>
      <c r="C49">
        <v>2</v>
      </c>
      <c r="D49">
        <v>30.8</v>
      </c>
      <c r="F49" s="10" t="s">
        <v>19</v>
      </c>
      <c r="G49" t="s">
        <v>700</v>
      </c>
      <c r="H49">
        <v>2</v>
      </c>
      <c r="J49" s="10" t="s">
        <v>19</v>
      </c>
      <c r="K49" t="s">
        <v>700</v>
      </c>
      <c r="L49">
        <v>30.8</v>
      </c>
    </row>
    <row r="50" spans="1:12" x14ac:dyDescent="0.35">
      <c r="A50" t="s">
        <v>19</v>
      </c>
      <c r="B50" t="s">
        <v>268</v>
      </c>
      <c r="C50">
        <v>8</v>
      </c>
      <c r="D50">
        <v>332.3</v>
      </c>
      <c r="F50" s="10" t="s">
        <v>19</v>
      </c>
      <c r="G50" t="s">
        <v>268</v>
      </c>
      <c r="H50">
        <v>8</v>
      </c>
      <c r="J50" s="10" t="s">
        <v>19</v>
      </c>
      <c r="K50" t="s">
        <v>268</v>
      </c>
      <c r="L50">
        <v>332.3</v>
      </c>
    </row>
    <row r="51" spans="1:12" x14ac:dyDescent="0.35">
      <c r="A51" t="s">
        <v>19</v>
      </c>
      <c r="B51" t="s">
        <v>377</v>
      </c>
      <c r="C51">
        <v>52</v>
      </c>
      <c r="D51">
        <v>3175.9999999999995</v>
      </c>
      <c r="F51" s="10" t="s">
        <v>19</v>
      </c>
      <c r="G51" t="s">
        <v>377</v>
      </c>
      <c r="H51">
        <v>52</v>
      </c>
      <c r="J51" s="10" t="s">
        <v>19</v>
      </c>
      <c r="K51" t="s">
        <v>377</v>
      </c>
      <c r="L51">
        <v>3175.9999999999995</v>
      </c>
    </row>
    <row r="52" spans="1:12" x14ac:dyDescent="0.35">
      <c r="A52" t="s">
        <v>19</v>
      </c>
      <c r="B52" t="s">
        <v>108</v>
      </c>
      <c r="C52">
        <v>295</v>
      </c>
      <c r="D52">
        <v>20939.600000000002</v>
      </c>
      <c r="F52" s="10" t="s">
        <v>19</v>
      </c>
      <c r="G52" t="s">
        <v>108</v>
      </c>
      <c r="H52">
        <v>295</v>
      </c>
      <c r="J52" s="10" t="s">
        <v>19</v>
      </c>
      <c r="K52" t="s">
        <v>108</v>
      </c>
      <c r="L52">
        <v>20939.600000000002</v>
      </c>
    </row>
    <row r="53" spans="1:12" x14ac:dyDescent="0.35">
      <c r="A53" t="s">
        <v>19</v>
      </c>
      <c r="B53" t="s">
        <v>110</v>
      </c>
      <c r="C53">
        <v>195</v>
      </c>
      <c r="D53">
        <v>10185.899999999996</v>
      </c>
      <c r="F53" s="10" t="s">
        <v>19</v>
      </c>
      <c r="G53" t="s">
        <v>110</v>
      </c>
      <c r="H53">
        <v>195</v>
      </c>
      <c r="J53" s="10" t="s">
        <v>19</v>
      </c>
      <c r="K53" t="s">
        <v>110</v>
      </c>
      <c r="L53">
        <v>10185.899999999996</v>
      </c>
    </row>
    <row r="54" spans="1:12" x14ac:dyDescent="0.35">
      <c r="A54" t="s">
        <v>19</v>
      </c>
      <c r="B54" t="s">
        <v>292</v>
      </c>
      <c r="C54">
        <v>20</v>
      </c>
      <c r="D54">
        <v>958.7</v>
      </c>
      <c r="F54" s="10" t="s">
        <v>19</v>
      </c>
      <c r="G54" t="s">
        <v>292</v>
      </c>
      <c r="H54">
        <v>20</v>
      </c>
      <c r="J54" s="10" t="s">
        <v>19</v>
      </c>
      <c r="K54" t="s">
        <v>292</v>
      </c>
      <c r="L54">
        <v>958.7</v>
      </c>
    </row>
    <row r="55" spans="1:12" x14ac:dyDescent="0.35">
      <c r="A55" t="s">
        <v>19</v>
      </c>
      <c r="B55" t="s">
        <v>79</v>
      </c>
      <c r="C55">
        <v>6</v>
      </c>
      <c r="D55">
        <v>323</v>
      </c>
      <c r="F55" s="10" t="s">
        <v>19</v>
      </c>
      <c r="G55" t="s">
        <v>79</v>
      </c>
      <c r="H55">
        <v>6</v>
      </c>
      <c r="J55" s="10" t="s">
        <v>19</v>
      </c>
      <c r="K55" t="s">
        <v>79</v>
      </c>
      <c r="L55">
        <v>323</v>
      </c>
    </row>
    <row r="56" spans="1:12" x14ac:dyDescent="0.35">
      <c r="A56" t="s">
        <v>19</v>
      </c>
      <c r="B56" t="s">
        <v>608</v>
      </c>
      <c r="C56">
        <v>5</v>
      </c>
      <c r="D56">
        <v>167.70000000000002</v>
      </c>
      <c r="F56" s="10" t="s">
        <v>19</v>
      </c>
      <c r="G56" t="s">
        <v>608</v>
      </c>
      <c r="H56">
        <v>5</v>
      </c>
      <c r="J56" s="10" t="s">
        <v>19</v>
      </c>
      <c r="K56" t="s">
        <v>608</v>
      </c>
      <c r="L56">
        <v>167.70000000000002</v>
      </c>
    </row>
    <row r="57" spans="1:12" x14ac:dyDescent="0.35">
      <c r="A57" t="s">
        <v>19</v>
      </c>
      <c r="B57" t="s">
        <v>113</v>
      </c>
      <c r="C57">
        <v>94</v>
      </c>
      <c r="D57">
        <v>3978.5</v>
      </c>
      <c r="F57" s="10" t="s">
        <v>19</v>
      </c>
      <c r="G57" t="s">
        <v>113</v>
      </c>
      <c r="H57">
        <v>94</v>
      </c>
      <c r="J57" s="10" t="s">
        <v>19</v>
      </c>
      <c r="K57" t="s">
        <v>113</v>
      </c>
      <c r="L57">
        <v>3978.5</v>
      </c>
    </row>
    <row r="58" spans="1:12" x14ac:dyDescent="0.35">
      <c r="A58" t="s">
        <v>19</v>
      </c>
      <c r="B58" t="s">
        <v>997</v>
      </c>
      <c r="C58">
        <v>28</v>
      </c>
      <c r="D58">
        <v>1405</v>
      </c>
      <c r="F58" s="10" t="s">
        <v>19</v>
      </c>
      <c r="G58" t="s">
        <v>997</v>
      </c>
      <c r="H58">
        <v>28</v>
      </c>
      <c r="J58" s="10" t="s">
        <v>19</v>
      </c>
      <c r="K58" t="s">
        <v>997</v>
      </c>
      <c r="L58">
        <v>1405</v>
      </c>
    </row>
    <row r="59" spans="1:12" x14ac:dyDescent="0.35">
      <c r="A59" t="s">
        <v>19</v>
      </c>
      <c r="B59" t="s">
        <v>82</v>
      </c>
      <c r="C59">
        <v>179</v>
      </c>
      <c r="D59">
        <v>9869.0999999999985</v>
      </c>
      <c r="F59" s="10" t="s">
        <v>19</v>
      </c>
      <c r="G59" t="s">
        <v>82</v>
      </c>
      <c r="H59">
        <v>179</v>
      </c>
      <c r="J59" s="10" t="s">
        <v>19</v>
      </c>
      <c r="K59" t="s">
        <v>82</v>
      </c>
      <c r="L59">
        <v>9869.0999999999985</v>
      </c>
    </row>
    <row r="60" spans="1:12" x14ac:dyDescent="0.35">
      <c r="A60" t="s">
        <v>19</v>
      </c>
      <c r="B60" t="s">
        <v>243</v>
      </c>
      <c r="C60">
        <v>15</v>
      </c>
      <c r="D60">
        <v>615.29999999999995</v>
      </c>
      <c r="F60" s="10" t="s">
        <v>19</v>
      </c>
      <c r="G60" t="s">
        <v>243</v>
      </c>
      <c r="H60">
        <v>15</v>
      </c>
      <c r="J60" s="10" t="s">
        <v>19</v>
      </c>
      <c r="K60" t="s">
        <v>243</v>
      </c>
      <c r="L60">
        <v>615.29999999999995</v>
      </c>
    </row>
    <row r="61" spans="1:12" x14ac:dyDescent="0.35">
      <c r="A61" t="s">
        <v>19</v>
      </c>
      <c r="B61" t="s">
        <v>1911</v>
      </c>
      <c r="C61">
        <v>3</v>
      </c>
      <c r="D61">
        <v>285</v>
      </c>
      <c r="F61" s="11" t="s">
        <v>19</v>
      </c>
      <c r="G61" t="s">
        <v>1911</v>
      </c>
      <c r="H61">
        <v>3</v>
      </c>
      <c r="J61" s="11" t="s">
        <v>19</v>
      </c>
      <c r="K61" t="s">
        <v>1911</v>
      </c>
      <c r="L61">
        <v>285</v>
      </c>
    </row>
    <row r="62" spans="1:12" x14ac:dyDescent="0.35">
      <c r="A62" t="s">
        <v>2537</v>
      </c>
      <c r="C62">
        <v>11997</v>
      </c>
      <c r="D62">
        <v>649019.79999999981</v>
      </c>
    </row>
    <row r="63" spans="1:12" x14ac:dyDescent="0.35">
      <c r="A63" t="s">
        <v>2528</v>
      </c>
      <c r="C63">
        <v>11997</v>
      </c>
      <c r="D63">
        <v>649019.79999999981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E860-0BE0-4B37-90ED-640455D56883}">
  <dimension ref="A3:B19"/>
  <sheetViews>
    <sheetView workbookViewId="0">
      <selection activeCell="B5" sqref="B5"/>
    </sheetView>
  </sheetViews>
  <sheetFormatPr defaultRowHeight="14.5" x14ac:dyDescent="0.35"/>
  <cols>
    <col min="1" max="2" width="12.453125" bestFit="1" customWidth="1"/>
  </cols>
  <sheetData>
    <row r="3" spans="1:2" x14ac:dyDescent="0.35">
      <c r="A3" s="6" t="s">
        <v>2527</v>
      </c>
      <c r="B3" t="s">
        <v>2519</v>
      </c>
    </row>
    <row r="4" spans="1:2" x14ac:dyDescent="0.35">
      <c r="A4" s="7">
        <v>0</v>
      </c>
      <c r="B4">
        <v>175</v>
      </c>
    </row>
    <row r="5" spans="1:2" x14ac:dyDescent="0.35">
      <c r="A5" s="7">
        <v>1</v>
      </c>
      <c r="B5">
        <v>888</v>
      </c>
    </row>
    <row r="6" spans="1:2" x14ac:dyDescent="0.35">
      <c r="A6" s="7">
        <v>2</v>
      </c>
      <c r="B6">
        <v>538</v>
      </c>
    </row>
    <row r="7" spans="1:2" x14ac:dyDescent="0.35">
      <c r="A7" s="7">
        <v>3</v>
      </c>
      <c r="B7">
        <v>344</v>
      </c>
    </row>
    <row r="8" spans="1:2" x14ac:dyDescent="0.35">
      <c r="A8" s="7">
        <v>4</v>
      </c>
      <c r="B8">
        <v>200</v>
      </c>
    </row>
    <row r="9" spans="1:2" x14ac:dyDescent="0.35">
      <c r="A9" s="7">
        <v>5</v>
      </c>
      <c r="B9">
        <v>94</v>
      </c>
    </row>
    <row r="10" spans="1:2" x14ac:dyDescent="0.35">
      <c r="A10" s="7">
        <v>6</v>
      </c>
      <c r="B10">
        <v>51</v>
      </c>
    </row>
    <row r="11" spans="1:2" x14ac:dyDescent="0.35">
      <c r="A11" s="7">
        <v>7</v>
      </c>
      <c r="B11">
        <v>32</v>
      </c>
    </row>
    <row r="12" spans="1:2" x14ac:dyDescent="0.35">
      <c r="A12" s="7">
        <v>8</v>
      </c>
      <c r="B12">
        <v>23</v>
      </c>
    </row>
    <row r="13" spans="1:2" x14ac:dyDescent="0.35">
      <c r="A13" s="7">
        <v>9</v>
      </c>
      <c r="B13">
        <v>9</v>
      </c>
    </row>
    <row r="14" spans="1:2" x14ac:dyDescent="0.35">
      <c r="A14" s="7">
        <v>10</v>
      </c>
      <c r="B14">
        <v>8</v>
      </c>
    </row>
    <row r="15" spans="1:2" x14ac:dyDescent="0.35">
      <c r="A15" s="7">
        <v>11</v>
      </c>
      <c r="B15">
        <v>11</v>
      </c>
    </row>
    <row r="16" spans="1:2" x14ac:dyDescent="0.35">
      <c r="A16" s="7">
        <v>12</v>
      </c>
      <c r="B16">
        <v>4</v>
      </c>
    </row>
    <row r="17" spans="1:2" x14ac:dyDescent="0.35">
      <c r="A17" s="7">
        <v>13</v>
      </c>
      <c r="B17">
        <v>10</v>
      </c>
    </row>
    <row r="18" spans="1:2" x14ac:dyDescent="0.35">
      <c r="A18" s="7">
        <v>14</v>
      </c>
      <c r="B18">
        <v>13</v>
      </c>
    </row>
    <row r="19" spans="1:2" x14ac:dyDescent="0.35">
      <c r="A19" s="7" t="s">
        <v>2528</v>
      </c>
      <c r="B19">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39715-0AD8-4A3B-B6B1-6A0B66479664}">
  <dimension ref="A3:B11"/>
  <sheetViews>
    <sheetView workbookViewId="0">
      <selection activeCell="K11" sqref="K11"/>
    </sheetView>
  </sheetViews>
  <sheetFormatPr defaultRowHeight="14.5" x14ac:dyDescent="0.35"/>
  <cols>
    <col min="1" max="2" width="12.453125" bestFit="1" customWidth="1"/>
  </cols>
  <sheetData>
    <row r="3" spans="1:2" x14ac:dyDescent="0.35">
      <c r="A3" s="6" t="s">
        <v>2527</v>
      </c>
      <c r="B3" t="s">
        <v>2519</v>
      </c>
    </row>
    <row r="4" spans="1:2" x14ac:dyDescent="0.35">
      <c r="A4" s="7">
        <v>1</v>
      </c>
      <c r="B4">
        <v>397</v>
      </c>
    </row>
    <row r="5" spans="1:2" x14ac:dyDescent="0.35">
      <c r="A5" s="7">
        <v>2</v>
      </c>
      <c r="B5">
        <v>540</v>
      </c>
    </row>
    <row r="6" spans="1:2" x14ac:dyDescent="0.35">
      <c r="A6" s="7">
        <v>3</v>
      </c>
      <c r="B6">
        <v>375</v>
      </c>
    </row>
    <row r="7" spans="1:2" x14ac:dyDescent="0.35">
      <c r="A7" s="7">
        <v>4</v>
      </c>
      <c r="B7">
        <v>246</v>
      </c>
    </row>
    <row r="8" spans="1:2" x14ac:dyDescent="0.35">
      <c r="A8" s="7">
        <v>5</v>
      </c>
      <c r="B8">
        <v>195</v>
      </c>
    </row>
    <row r="9" spans="1:2" x14ac:dyDescent="0.35">
      <c r="A9" s="7" t="s">
        <v>2535</v>
      </c>
      <c r="B9">
        <v>414</v>
      </c>
    </row>
    <row r="10" spans="1:2" x14ac:dyDescent="0.35">
      <c r="A10" s="7" t="s">
        <v>2536</v>
      </c>
      <c r="B10">
        <v>233</v>
      </c>
    </row>
    <row r="11" spans="1:2" x14ac:dyDescent="0.35">
      <c r="A11" s="7" t="s">
        <v>2528</v>
      </c>
      <c r="B11">
        <v>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99D2-254D-40D9-B3D4-4D90727FCF4C}">
  <dimension ref="A3:G8"/>
  <sheetViews>
    <sheetView zoomScaleNormal="100" workbookViewId="0">
      <selection activeCell="E6" sqref="E6"/>
    </sheetView>
  </sheetViews>
  <sheetFormatPr defaultRowHeight="14.5" x14ac:dyDescent="0.35"/>
  <cols>
    <col min="1" max="1" width="12.453125" bestFit="1" customWidth="1"/>
    <col min="2" max="2" width="15.6328125" bestFit="1" customWidth="1"/>
    <col min="3" max="4" width="3.81640625" bestFit="1" customWidth="1"/>
    <col min="5" max="5" width="4.81640625" bestFit="1" customWidth="1"/>
    <col min="6" max="6" width="3.81640625" bestFit="1" customWidth="1"/>
    <col min="7" max="7" width="10.36328125" bestFit="1" customWidth="1"/>
    <col min="8" max="8" width="3.90625" bestFit="1" customWidth="1"/>
    <col min="9" max="9" width="6.26953125" bestFit="1" customWidth="1"/>
    <col min="10" max="10" width="3.81640625" bestFit="1" customWidth="1"/>
    <col min="11" max="12" width="3.90625" bestFit="1" customWidth="1"/>
    <col min="13" max="13" width="6.26953125" bestFit="1" customWidth="1"/>
    <col min="14" max="14" width="3.81640625" bestFit="1" customWidth="1"/>
    <col min="15" max="16" width="3.90625" bestFit="1" customWidth="1"/>
    <col min="17" max="17" width="6.26953125" bestFit="1" customWidth="1"/>
    <col min="18" max="18" width="3.81640625" bestFit="1" customWidth="1"/>
    <col min="19" max="20" width="3.90625" bestFit="1" customWidth="1"/>
    <col min="21" max="21" width="6.26953125" bestFit="1" customWidth="1"/>
    <col min="22" max="22" width="10.36328125" bestFit="1" customWidth="1"/>
    <col min="23" max="32" width="8.81640625" bestFit="1" customWidth="1"/>
    <col min="33" max="89" width="9.1796875" bestFit="1" customWidth="1"/>
    <col min="90" max="90" width="10.36328125" bestFit="1" customWidth="1"/>
  </cols>
  <sheetData>
    <row r="3" spans="1:7" x14ac:dyDescent="0.35">
      <c r="A3" s="6" t="s">
        <v>2519</v>
      </c>
      <c r="B3" s="6" t="s">
        <v>2529</v>
      </c>
    </row>
    <row r="4" spans="1:7" x14ac:dyDescent="0.35">
      <c r="A4" s="6" t="s">
        <v>2527</v>
      </c>
      <c r="B4">
        <v>1</v>
      </c>
      <c r="C4">
        <v>2</v>
      </c>
      <c r="D4">
        <v>3</v>
      </c>
      <c r="E4">
        <v>4</v>
      </c>
      <c r="F4">
        <v>5</v>
      </c>
      <c r="G4" t="s">
        <v>2528</v>
      </c>
    </row>
    <row r="5" spans="1:7" x14ac:dyDescent="0.35">
      <c r="A5" s="7" t="s">
        <v>2538</v>
      </c>
      <c r="B5">
        <v>7</v>
      </c>
      <c r="C5">
        <v>37</v>
      </c>
      <c r="D5">
        <v>150</v>
      </c>
      <c r="E5">
        <v>312</v>
      </c>
      <c r="F5">
        <v>224</v>
      </c>
      <c r="G5">
        <v>730</v>
      </c>
    </row>
    <row r="6" spans="1:7" x14ac:dyDescent="0.35">
      <c r="A6" s="7" t="s">
        <v>2539</v>
      </c>
      <c r="B6">
        <v>8</v>
      </c>
      <c r="C6">
        <v>51</v>
      </c>
      <c r="D6">
        <v>182</v>
      </c>
      <c r="E6">
        <v>373</v>
      </c>
      <c r="F6">
        <v>247</v>
      </c>
      <c r="G6">
        <v>861</v>
      </c>
    </row>
    <row r="7" spans="1:7" x14ac:dyDescent="0.35">
      <c r="A7" s="7" t="s">
        <v>2540</v>
      </c>
      <c r="B7">
        <v>6</v>
      </c>
      <c r="C7">
        <v>39</v>
      </c>
      <c r="D7">
        <v>163</v>
      </c>
      <c r="E7">
        <v>351</v>
      </c>
      <c r="F7">
        <v>250</v>
      </c>
      <c r="G7">
        <v>809</v>
      </c>
    </row>
    <row r="8" spans="1:7" x14ac:dyDescent="0.35">
      <c r="A8" s="7" t="s">
        <v>2528</v>
      </c>
      <c r="B8">
        <v>21</v>
      </c>
      <c r="C8">
        <v>127</v>
      </c>
      <c r="D8">
        <v>495</v>
      </c>
      <c r="E8">
        <v>1036</v>
      </c>
      <c r="F8">
        <v>721</v>
      </c>
      <c r="G8">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H18" sqref="H18"/>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pivots</vt:lpstr>
      <vt:lpstr>Sheet3</vt:lpstr>
      <vt:lpstr>Sheet5</vt:lpstr>
      <vt:lpstr>Sheet6</vt:lpstr>
      <vt:lpstr>Sheet1</vt:lpstr>
      <vt:lpstr>Sheet4</vt:lpstr>
      <vt:lpstr>Sheet2</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omkar patil</cp:lastModifiedBy>
  <dcterms:created xsi:type="dcterms:W3CDTF">2025-06-13T02:42:26Z</dcterms:created>
  <dcterms:modified xsi:type="dcterms:W3CDTF">2026-10-22T08:28:39Z</dcterms:modified>
</cp:coreProperties>
</file>